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parana\Public\KevinMa\TimeTracking\July2017\"/>
    </mc:Choice>
  </mc:AlternateContent>
  <bookViews>
    <workbookView xWindow="0" yWindow="0" windowWidth="28800" windowHeight="11610"/>
  </bookViews>
  <sheets>
    <sheet name="Time Tracking" sheetId="4" r:id="rId1"/>
    <sheet name="Pivot Report" sheetId="6" r:id="rId2"/>
    <sheet name="Time Tracking Groups" sheetId="1" r:id="rId3"/>
    <sheet name="Lists" sheetId="3" state="hidden" r:id="rId4"/>
  </sheets>
  <definedNames>
    <definedName name="_xlnm._FilterDatabase" localSheetId="3" hidden="1">Lists!$O$1:$P$20</definedName>
    <definedName name="_xlnm._FilterDatabase" localSheetId="0" hidden="1">'Time Tracking'!$A$1:$N$699</definedName>
    <definedName name="_NotBillable">Lists!$M$2:$M$7</definedName>
    <definedName name="_NotProjectSpecific">Lists!$M$8:$M$10</definedName>
    <definedName name="AndreiCernauteanu">Lists!$M$11:$M$13</definedName>
    <definedName name="BarnabasNagy">Lists!$M$14:$M$15</definedName>
    <definedName name="BPG">Lists!$D$72</definedName>
    <definedName name="BPGPROGRAMSERVICE">Lists!$H$262</definedName>
    <definedName name="CSTCONTENTSUPPORTENGINEER">Lists!$D$55:$D$59</definedName>
    <definedName name="CSTCONTENTSUPPORTENGINEERADMIN">Lists!$H$180:$H$197</definedName>
    <definedName name="CSTCONTENTSUPPORTENGINEERCOMMUNICATIONANDREPORTING">Lists!$H$198:$H$201</definedName>
    <definedName name="CSTCONTENTSUPPORTENGINEERENGINEERINGSUPPORT">Lists!$H$202:$H$203</definedName>
    <definedName name="CSTCONTENTSUPPORTENGINEEROTHER">Lists!$H$204</definedName>
    <definedName name="CSTCONTENTSUPPORTENGINEERTIMETRACKING">Lists!$H$205</definedName>
    <definedName name="CSTKNOWLEDGELEADER">Lists!$D$49:$D$54</definedName>
    <definedName name="CSTKNOWLEDGELEADERADMIN">Lists!$H$150:$H$167</definedName>
    <definedName name="CSTKNOWLEDGELEADERCOMMUNICATIONANDREPORTING">Lists!$H$168:$H$171</definedName>
    <definedName name="CSTKNOWLEDGELEADERENGINEERINGSUPPORT">Lists!$H$172:$H$173</definedName>
    <definedName name="CSTKNOWLEDGELEADERFILEWORK">Lists!$H$174:'Lists'!$H$177</definedName>
    <definedName name="CSTKNOWLEDGELEADEROTHER">Lists!$H$178</definedName>
    <definedName name="CSTKNOWLEDGELEADERTIMETRACKING">Lists!$H$179</definedName>
    <definedName name="CSTLIPE">Lists!$D$41:$D$48</definedName>
    <definedName name="CSTLIPEADMIN">Lists!$H$118:$H$135</definedName>
    <definedName name="CSTLIPEBUILDENABLEMENT">Lists!$H$136</definedName>
    <definedName name="CSTLIPECOMMUNICATIONANDREPORTING">Lists!$H$137:$H$140</definedName>
    <definedName name="CSTLIPEENGINEERINGSUPPORT">Lists!$H$141:$H$142</definedName>
    <definedName name="CSTLIPEFILEWORK">Lists!$H$143:$H$146</definedName>
    <definedName name="CSTLIPEOTHER">Lists!$H$147</definedName>
    <definedName name="CSTLIPEPROJECTONBOARDING">Lists!$H$148</definedName>
    <definedName name="CSTLIPETIMETRACKING">Lists!$H$149</definedName>
    <definedName name="CSTLOCENGINEER">Lists!$D$13:$D$29</definedName>
    <definedName name="CSTLOCENGINEERADMIN">Lists!$H$35:$H$52</definedName>
    <definedName name="CSTLOCENGINEERBATCHPROCESSING">Lists!$H$53</definedName>
    <definedName name="CSTLOCENGINEERBUGMANAGEMENT">Lists!$H$54:$H$55</definedName>
    <definedName name="CSTLOCENGINEERBULLETPROOFING">Lists!$H$56</definedName>
    <definedName name="CSTLOCENGINEERCOMMUNICATIONANDREPORTING">Lists!$H$57:$H$60</definedName>
    <definedName name="CSTLOCENGINEERENGINEERINGSUPPORT">Lists!$H$61:$H$62</definedName>
    <definedName name="CSTLOCENGINEERFABRICGENERAL">Lists!$H$63</definedName>
    <definedName name="CSTLOCENGINEERFEEDBACKMANAGEMENT">Lists!$H$64:$H$66</definedName>
    <definedName name="CSTLOCENGINEERFILEWORK">Lists!$H$67:$H$70</definedName>
    <definedName name="CSTLOCENGINEERHOHBWORK">Lists!$H$71:$H$72</definedName>
    <definedName name="CSTLOCENGINEEROTHER">Lists!$H$73</definedName>
    <definedName name="CSTLOCENGINEERPROJECTONBOARDING">Lists!$H$74</definedName>
    <definedName name="CSTLOCENGINEERPUBLISHING">Lists!$H$75</definedName>
    <definedName name="CSTLOCENGINEERQUALITYMANAGEMENT">Lists!$H$76:$H$78</definedName>
    <definedName name="CSTLOCENGINEERTERMINOLOGYMANAGEMENT">Lists!$H$79</definedName>
    <definedName name="CSTLOCENGINEERTIMETRACKING">Lists!$H$80</definedName>
    <definedName name="CSTLOCENGINEERVENDORMANAGEMENT">Lists!$H$81:$H$82</definedName>
    <definedName name="CSTPIPE">Lists!$D$30:$D$40</definedName>
    <definedName name="CSTPIPEADMIN">Lists!$H$83:$H$100</definedName>
    <definedName name="CSTPIPEBATCHPROCESSING">Lists!$H$101</definedName>
    <definedName name="CSTPIPEBUGMANAGEMENT">Lists!$H$102</definedName>
    <definedName name="CSTPIPEBUILDENABLEMENT">Lists!$H$103</definedName>
    <definedName name="CSTPIPEBULLETPROOFING">Lists!$H$104</definedName>
    <definedName name="CSTPIPECOMMUNICATIONANDREPORTING">Lists!$H$105:$H$108</definedName>
    <definedName name="CSTPIPEENGINEERINGSUPPORT">Lists!$H$109:$H$110</definedName>
    <definedName name="CSTPIPEFABRICGENERAL">Lists!$H$111</definedName>
    <definedName name="CSTPIPEFILEWORK">Lists!$H$112:$H$115</definedName>
    <definedName name="CSTPIPEOTHER">Lists!$H$116</definedName>
    <definedName name="CSTPIPETIMETRACKING">Lists!$H$117</definedName>
    <definedName name="CSTPM">Lists!$D$2:$D$12</definedName>
    <definedName name="CSTPMADMIN">Lists!$H$2:$H$19</definedName>
    <definedName name="CSTPMBUGMANAGEMENT">Lists!$H$20</definedName>
    <definedName name="CSTPMCOMMUNICATIONANDREPORTING">Lists!$H$21:$H$24</definedName>
    <definedName name="CSTPMFEEDBACKMANAGEMENT">Lists!$H$25:$H$27</definedName>
    <definedName name="CSTPMFINANCEMANAGEMENT">Lists!$H$28</definedName>
    <definedName name="CSTPMOTHER">Lists!$H$29</definedName>
    <definedName name="CSTPMPRODUCTIONMANAGEMENT">Lists!$H$30</definedName>
    <definedName name="CSTPMPROJECTONBOARDING">Lists!$H$31</definedName>
    <definedName name="CSTPMQUALITYMANAGEMENT">Lists!$H$32</definedName>
    <definedName name="CSTPMSCHEDULEMANAGEMENT">Lists!$H$33</definedName>
    <definedName name="CSTPMTIMETRACKING">Lists!$H$34</definedName>
    <definedName name="DTPANDMULTIMEDIA">Lists!$D$60:$D$63</definedName>
    <definedName name="DTPANDMULTIMEDIAADMIN">Lists!$H$207:$H$222</definedName>
    <definedName name="DTPANDMULTIMEDIADTP">Lists!$H$206</definedName>
    <definedName name="DTPANDMULTIMEDIAGRAPHICS">Lists!$H$223</definedName>
    <definedName name="DTPANDMULTIMEDIAMULTIMEDIA">Lists!$H$224</definedName>
    <definedName name="FedericoMacagno">Lists!$M$16:$M$18</definedName>
    <definedName name="FernandoDiaz">Lists!$M$19:$M$19</definedName>
    <definedName name="IOs">Lists!$O$2:$P$20</definedName>
    <definedName name="JanBaltus">Lists!$M$20:$M$20</definedName>
    <definedName name="JoseAznar">Lists!$M$21:$M$22</definedName>
    <definedName name="LINGUISTICSERVICES">Lists!$D$64:$D$71</definedName>
    <definedName name="LINGUISTICSERVICESADMIN">Lists!$H$225:$H$242</definedName>
    <definedName name="LINGUISTICSERVICESFEEDBACKMANAGEMENT">Lists!$H$243:$H$243</definedName>
    <definedName name="LINGUISTICSERVICESLINGUISTICBUGMANAGEMENT">Lists!$H$244</definedName>
    <definedName name="LINGUISTICSERVICESLINGUISTICRESOURCEMANAGEMENT">Lists!$H$245:$H$248</definedName>
    <definedName name="LINGUISTICSERVICESQUALITY">Lists!$H$249:$H$253</definedName>
    <definedName name="LINGUISTICSERVICESSTYLEGUIDE">Lists!$H$253</definedName>
    <definedName name="LINGUISTICSERVICESTERMINOLOGY">Lists!$H$254:$H$258</definedName>
    <definedName name="LINGUISTICSERVICESTIMETRACKING">Lists!$H$259</definedName>
    <definedName name="LINGUISTICSERVICESTRAINING">Lists!$H$260:$H$261</definedName>
    <definedName name="MonserratCalzada">Lists!$M$23:$M$25</definedName>
    <definedName name="Navision_Projects">Lists!$L$3:$M$33</definedName>
    <definedName name="Project_Owners">Lists!$J$2:$J$15</definedName>
    <definedName name="RaimundoSabao">Lists!$M$26:$M$28</definedName>
    <definedName name="Role">Lists!$A$2:$A$9</definedName>
    <definedName name="SabrinaLang">Lists!$M$29:$M$32</definedName>
    <definedName name="TiborSipos">Lists!$M$33:$M$37</definedName>
    <definedName name="TimothyHartling">Lists!$M$38:$M$40</definedName>
    <definedName name="VeronikaVasikova">Lists!$M$41:$M$43</definedName>
  </definedNames>
  <calcPr calcId="171026"/>
  <pivotCaches>
    <pivotCache cacheId="4"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5" i="4" l="1"/>
  <c r="L29" i="4" l="1"/>
  <c r="E29" i="4"/>
  <c r="L28" i="4" l="1"/>
  <c r="L24" i="4" l="1"/>
  <c r="L23" i="4"/>
  <c r="L2" i="4" l="1"/>
  <c r="E3" i="4"/>
  <c r="E4" i="4"/>
  <c r="E5" i="4"/>
  <c r="E6" i="4"/>
  <c r="E7" i="4"/>
  <c r="E8" i="4"/>
  <c r="E9" i="4"/>
  <c r="E10" i="4"/>
  <c r="E11" i="4"/>
  <c r="E12" i="4"/>
  <c r="E13" i="4"/>
  <c r="E14" i="4"/>
  <c r="E15" i="4"/>
  <c r="E16" i="4"/>
  <c r="E17" i="4"/>
  <c r="E18" i="4"/>
  <c r="E19" i="4"/>
  <c r="E20" i="4"/>
  <c r="E21" i="4"/>
  <c r="E22" i="4"/>
  <c r="E23" i="4"/>
  <c r="E24" i="4"/>
  <c r="E25" i="4"/>
  <c r="E26" i="4"/>
  <c r="E27" i="4"/>
  <c r="E28"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2" i="4"/>
  <c r="L3" i="4"/>
  <c r="M3" i="4"/>
  <c r="L4" i="4"/>
  <c r="M4" i="4"/>
  <c r="L5" i="4"/>
  <c r="M5" i="4"/>
  <c r="L6" i="4"/>
  <c r="M6" i="4"/>
  <c r="L7" i="4"/>
  <c r="M7" i="4"/>
  <c r="L8" i="4"/>
  <c r="M8" i="4"/>
  <c r="L9" i="4"/>
  <c r="M9" i="4"/>
  <c r="L10" i="4"/>
  <c r="M10" i="4"/>
  <c r="L11" i="4"/>
  <c r="M11" i="4"/>
  <c r="L12" i="4"/>
  <c r="M12" i="4"/>
  <c r="L13" i="4"/>
  <c r="M13" i="4"/>
  <c r="L14" i="4"/>
  <c r="M14" i="4"/>
  <c r="L15" i="4"/>
  <c r="M15" i="4"/>
  <c r="L16" i="4"/>
  <c r="M16" i="4"/>
  <c r="L17" i="4"/>
  <c r="M17" i="4"/>
  <c r="L18" i="4"/>
  <c r="M18" i="4"/>
  <c r="L19" i="4"/>
  <c r="M19" i="4"/>
  <c r="L20" i="4"/>
  <c r="M20" i="4"/>
  <c r="L21" i="4"/>
  <c r="M21" i="4"/>
  <c r="L22" i="4"/>
  <c r="M22" i="4"/>
  <c r="M23" i="4"/>
  <c r="M24" i="4"/>
  <c r="L25" i="4"/>
  <c r="M25" i="4"/>
  <c r="L26" i="4"/>
  <c r="M26" i="4"/>
  <c r="L27" i="4"/>
  <c r="M27" i="4"/>
  <c r="M28" i="4"/>
  <c r="M29" i="4"/>
  <c r="L30" i="4"/>
  <c r="M30" i="4"/>
  <c r="L31" i="4"/>
  <c r="M31" i="4"/>
  <c r="L32" i="4"/>
  <c r="M32" i="4"/>
  <c r="L33" i="4"/>
  <c r="M33" i="4"/>
  <c r="L34" i="4"/>
  <c r="M34" i="4"/>
  <c r="M35" i="4"/>
  <c r="L36" i="4"/>
  <c r="M36" i="4"/>
  <c r="L37" i="4"/>
  <c r="M37" i="4"/>
  <c r="L38" i="4"/>
  <c r="M38" i="4"/>
  <c r="L39" i="4"/>
  <c r="M39" i="4"/>
  <c r="L40" i="4"/>
  <c r="M40" i="4"/>
  <c r="L41" i="4"/>
  <c r="M41" i="4"/>
  <c r="L42" i="4"/>
  <c r="M42" i="4"/>
  <c r="L43" i="4"/>
  <c r="M43" i="4"/>
  <c r="L44" i="4"/>
  <c r="M44" i="4"/>
  <c r="L45" i="4"/>
  <c r="M45" i="4"/>
  <c r="L46" i="4"/>
  <c r="M46" i="4"/>
  <c r="L47" i="4"/>
  <c r="M47" i="4"/>
  <c r="L48" i="4"/>
  <c r="M48" i="4"/>
  <c r="L49" i="4"/>
  <c r="M49" i="4"/>
  <c r="L50" i="4"/>
  <c r="M50" i="4"/>
  <c r="L51" i="4"/>
  <c r="M51" i="4"/>
  <c r="L52" i="4"/>
  <c r="M52" i="4"/>
  <c r="L53" i="4"/>
  <c r="M53" i="4"/>
  <c r="L54" i="4"/>
  <c r="M54" i="4"/>
  <c r="L55" i="4"/>
  <c r="M55" i="4"/>
  <c r="L56" i="4"/>
  <c r="M56" i="4"/>
  <c r="L57" i="4"/>
  <c r="M57" i="4"/>
  <c r="L58" i="4"/>
  <c r="M58" i="4"/>
  <c r="L59" i="4"/>
  <c r="M59" i="4"/>
  <c r="L60" i="4"/>
  <c r="M60" i="4"/>
  <c r="L61" i="4"/>
  <c r="M61" i="4"/>
  <c r="L62" i="4"/>
  <c r="M62" i="4"/>
  <c r="L63" i="4"/>
  <c r="M63" i="4"/>
  <c r="L64" i="4"/>
  <c r="M64" i="4"/>
  <c r="L65" i="4"/>
  <c r="M65" i="4"/>
  <c r="L66" i="4"/>
  <c r="M66" i="4"/>
  <c r="L67" i="4"/>
  <c r="M67" i="4"/>
  <c r="L68" i="4"/>
  <c r="M68" i="4"/>
  <c r="L69" i="4"/>
  <c r="M69" i="4"/>
  <c r="L70" i="4"/>
  <c r="M70" i="4"/>
  <c r="L71" i="4"/>
  <c r="M71" i="4"/>
  <c r="L72" i="4"/>
  <c r="M72" i="4"/>
  <c r="L73" i="4"/>
  <c r="M73" i="4"/>
  <c r="L74" i="4"/>
  <c r="M74" i="4"/>
  <c r="L75" i="4"/>
  <c r="M75" i="4"/>
  <c r="L76" i="4"/>
  <c r="M76" i="4"/>
  <c r="L77" i="4"/>
  <c r="M77" i="4"/>
  <c r="L78" i="4"/>
  <c r="M78" i="4"/>
  <c r="L79" i="4"/>
  <c r="M79" i="4"/>
  <c r="L80" i="4"/>
  <c r="M80" i="4"/>
  <c r="L81" i="4"/>
  <c r="M81" i="4"/>
  <c r="L82" i="4"/>
  <c r="M82" i="4"/>
  <c r="L83" i="4"/>
  <c r="M83" i="4"/>
  <c r="L84" i="4"/>
  <c r="M84" i="4"/>
  <c r="L85" i="4"/>
  <c r="M85" i="4"/>
  <c r="L86" i="4"/>
  <c r="M86" i="4"/>
  <c r="L87" i="4"/>
  <c r="M87" i="4"/>
  <c r="L88" i="4"/>
  <c r="M88" i="4"/>
  <c r="L89" i="4"/>
  <c r="M89" i="4"/>
  <c r="L90" i="4"/>
  <c r="M90" i="4"/>
  <c r="L91" i="4"/>
  <c r="M91" i="4"/>
  <c r="L92" i="4"/>
  <c r="M92" i="4"/>
  <c r="L93" i="4"/>
  <c r="M93" i="4"/>
  <c r="L94" i="4"/>
  <c r="M94" i="4"/>
  <c r="L95" i="4"/>
  <c r="M95" i="4"/>
  <c r="L96" i="4"/>
  <c r="M96" i="4"/>
  <c r="L97" i="4"/>
  <c r="M97" i="4"/>
  <c r="L98" i="4"/>
  <c r="M98" i="4"/>
  <c r="L99" i="4"/>
  <c r="M99" i="4"/>
  <c r="L100" i="4"/>
  <c r="M100" i="4"/>
  <c r="L101" i="4"/>
  <c r="M101" i="4"/>
  <c r="L102" i="4"/>
  <c r="M102" i="4"/>
  <c r="L103" i="4"/>
  <c r="M103" i="4"/>
  <c r="L104" i="4"/>
  <c r="M104" i="4"/>
  <c r="L105" i="4"/>
  <c r="M105" i="4"/>
  <c r="L106" i="4"/>
  <c r="M106" i="4"/>
  <c r="L107" i="4"/>
  <c r="M107" i="4"/>
  <c r="L108" i="4"/>
  <c r="M108" i="4"/>
  <c r="L109" i="4"/>
  <c r="M109" i="4"/>
  <c r="L110" i="4"/>
  <c r="M110" i="4"/>
  <c r="L111" i="4"/>
  <c r="M111" i="4"/>
  <c r="L112" i="4"/>
  <c r="M112" i="4"/>
  <c r="L113" i="4"/>
  <c r="M113" i="4"/>
  <c r="L114" i="4"/>
  <c r="M114" i="4"/>
  <c r="L115" i="4"/>
  <c r="M115" i="4"/>
  <c r="L116" i="4"/>
  <c r="M116" i="4"/>
  <c r="L117" i="4"/>
  <c r="M117" i="4"/>
  <c r="L118" i="4"/>
  <c r="M118" i="4"/>
  <c r="L119" i="4"/>
  <c r="M119" i="4"/>
  <c r="L120" i="4"/>
  <c r="M120" i="4"/>
  <c r="L121" i="4"/>
  <c r="M121" i="4"/>
  <c r="L122" i="4"/>
  <c r="M122" i="4"/>
  <c r="L123" i="4"/>
  <c r="M123" i="4"/>
  <c r="L124" i="4"/>
  <c r="M124" i="4"/>
  <c r="L125" i="4"/>
  <c r="M125" i="4"/>
  <c r="L126" i="4"/>
  <c r="M126" i="4"/>
  <c r="L127" i="4"/>
  <c r="M127" i="4"/>
  <c r="L128" i="4"/>
  <c r="M128" i="4"/>
  <c r="L129" i="4"/>
  <c r="M129" i="4"/>
  <c r="L130" i="4"/>
  <c r="M130" i="4"/>
  <c r="L131" i="4"/>
  <c r="M131" i="4"/>
  <c r="L132" i="4"/>
  <c r="M132" i="4"/>
  <c r="L133" i="4"/>
  <c r="M133" i="4"/>
  <c r="L134" i="4"/>
  <c r="M134" i="4"/>
  <c r="L135" i="4"/>
  <c r="M135" i="4"/>
  <c r="L136" i="4"/>
  <c r="M136" i="4"/>
  <c r="L137" i="4"/>
  <c r="M137" i="4"/>
  <c r="L138" i="4"/>
  <c r="M138" i="4"/>
  <c r="L139" i="4"/>
  <c r="M139" i="4"/>
  <c r="L140" i="4"/>
  <c r="M140" i="4"/>
  <c r="L141" i="4"/>
  <c r="M141" i="4"/>
  <c r="L142" i="4"/>
  <c r="M142" i="4"/>
  <c r="L143" i="4"/>
  <c r="M143" i="4"/>
  <c r="L144" i="4"/>
  <c r="M144" i="4"/>
  <c r="L145" i="4"/>
  <c r="M145" i="4"/>
  <c r="L146" i="4"/>
  <c r="M146" i="4"/>
  <c r="L147" i="4"/>
  <c r="M147" i="4"/>
  <c r="L148" i="4"/>
  <c r="M148" i="4"/>
  <c r="L149" i="4"/>
  <c r="M149" i="4"/>
  <c r="L150" i="4"/>
  <c r="M150" i="4"/>
  <c r="L151" i="4"/>
  <c r="M151" i="4"/>
  <c r="L152" i="4"/>
  <c r="M152" i="4"/>
  <c r="L153" i="4"/>
  <c r="M153" i="4"/>
  <c r="L154" i="4"/>
  <c r="M154" i="4"/>
  <c r="L155" i="4"/>
  <c r="M155" i="4"/>
  <c r="L156" i="4"/>
  <c r="M156" i="4"/>
  <c r="L157" i="4"/>
  <c r="M157" i="4"/>
  <c r="L158" i="4"/>
  <c r="M158" i="4"/>
  <c r="L159" i="4"/>
  <c r="M159" i="4"/>
  <c r="L160" i="4"/>
  <c r="M160" i="4"/>
  <c r="L161" i="4"/>
  <c r="M161" i="4"/>
  <c r="L162" i="4"/>
  <c r="M162" i="4"/>
  <c r="L163" i="4"/>
  <c r="M163" i="4"/>
  <c r="L164" i="4"/>
  <c r="M164" i="4"/>
  <c r="L165" i="4"/>
  <c r="M165" i="4"/>
  <c r="L166" i="4"/>
  <c r="M166" i="4"/>
  <c r="L167" i="4"/>
  <c r="M167" i="4"/>
  <c r="L168" i="4"/>
  <c r="M168" i="4"/>
  <c r="L169" i="4"/>
  <c r="M169" i="4"/>
  <c r="L170" i="4"/>
  <c r="M170" i="4"/>
  <c r="L171" i="4"/>
  <c r="M171" i="4"/>
  <c r="L172" i="4"/>
  <c r="M172" i="4"/>
  <c r="L173" i="4"/>
  <c r="M173" i="4"/>
  <c r="L174" i="4"/>
  <c r="M174" i="4"/>
  <c r="L175" i="4"/>
  <c r="M175" i="4"/>
  <c r="L176" i="4"/>
  <c r="M176" i="4"/>
  <c r="L177" i="4"/>
  <c r="M177" i="4"/>
  <c r="L178" i="4"/>
  <c r="M178" i="4"/>
  <c r="L179" i="4"/>
  <c r="M179" i="4"/>
  <c r="L180" i="4"/>
  <c r="M180" i="4"/>
  <c r="L181" i="4"/>
  <c r="M181" i="4"/>
  <c r="L182" i="4"/>
  <c r="M182" i="4"/>
  <c r="L183" i="4"/>
  <c r="M183" i="4"/>
  <c r="L184" i="4"/>
  <c r="M184" i="4"/>
  <c r="L185" i="4"/>
  <c r="M185" i="4"/>
  <c r="L186" i="4"/>
  <c r="M186" i="4"/>
  <c r="L187" i="4"/>
  <c r="M187" i="4"/>
  <c r="L188" i="4"/>
  <c r="M188" i="4"/>
  <c r="L189" i="4"/>
  <c r="M189" i="4"/>
  <c r="L190" i="4"/>
  <c r="M190" i="4"/>
  <c r="L191" i="4"/>
  <c r="M191" i="4"/>
  <c r="L192" i="4"/>
  <c r="M192" i="4"/>
  <c r="L193" i="4"/>
  <c r="M193" i="4"/>
  <c r="L194" i="4"/>
  <c r="M194" i="4"/>
  <c r="L195" i="4"/>
  <c r="M195" i="4"/>
  <c r="L196" i="4"/>
  <c r="M196" i="4"/>
  <c r="L197" i="4"/>
  <c r="M197" i="4"/>
  <c r="L198" i="4"/>
  <c r="M198" i="4"/>
  <c r="L199" i="4"/>
  <c r="M199" i="4"/>
  <c r="L200" i="4"/>
  <c r="M200" i="4"/>
  <c r="L201" i="4"/>
  <c r="M201" i="4"/>
  <c r="L202" i="4"/>
  <c r="M202" i="4"/>
  <c r="L203" i="4"/>
  <c r="M203" i="4"/>
  <c r="L204" i="4"/>
  <c r="M204" i="4"/>
  <c r="L205" i="4"/>
  <c r="M205" i="4"/>
  <c r="L206" i="4"/>
  <c r="M206" i="4"/>
  <c r="L207" i="4"/>
  <c r="M207" i="4"/>
  <c r="L208" i="4"/>
  <c r="M208" i="4"/>
  <c r="L209" i="4"/>
  <c r="M209" i="4"/>
  <c r="L210" i="4"/>
  <c r="M210" i="4"/>
  <c r="L211" i="4"/>
  <c r="M211" i="4"/>
  <c r="L212" i="4"/>
  <c r="M212" i="4"/>
  <c r="L213" i="4"/>
  <c r="M213" i="4"/>
  <c r="L214" i="4"/>
  <c r="M214" i="4"/>
  <c r="L215" i="4"/>
  <c r="M215" i="4"/>
  <c r="L216" i="4"/>
  <c r="M216" i="4"/>
  <c r="L217" i="4"/>
  <c r="M217" i="4"/>
  <c r="L218" i="4"/>
  <c r="M218" i="4"/>
  <c r="L219" i="4"/>
  <c r="M219" i="4"/>
  <c r="L220" i="4"/>
  <c r="M220" i="4"/>
  <c r="L221" i="4"/>
  <c r="M221" i="4"/>
  <c r="L222" i="4"/>
  <c r="M222" i="4"/>
  <c r="L223" i="4"/>
  <c r="M223" i="4"/>
  <c r="L224" i="4"/>
  <c r="M224" i="4"/>
  <c r="L225" i="4"/>
  <c r="M225" i="4"/>
  <c r="L226" i="4"/>
  <c r="M226" i="4"/>
  <c r="L227" i="4"/>
  <c r="M227" i="4"/>
  <c r="L228" i="4"/>
  <c r="M228" i="4"/>
  <c r="L229" i="4"/>
  <c r="M229" i="4"/>
  <c r="L230" i="4"/>
  <c r="M230" i="4"/>
  <c r="L231" i="4"/>
  <c r="M231" i="4"/>
  <c r="L232" i="4"/>
  <c r="M232" i="4"/>
  <c r="L233" i="4"/>
  <c r="M233" i="4"/>
  <c r="L234" i="4"/>
  <c r="M234" i="4"/>
  <c r="L235" i="4"/>
  <c r="M235" i="4"/>
  <c r="L236" i="4"/>
  <c r="M236" i="4"/>
  <c r="L237" i="4"/>
  <c r="M237" i="4"/>
  <c r="L238" i="4"/>
  <c r="M238" i="4"/>
  <c r="L239" i="4"/>
  <c r="M239" i="4"/>
  <c r="L240" i="4"/>
  <c r="M240" i="4"/>
  <c r="L241" i="4"/>
  <c r="M241" i="4"/>
  <c r="L242" i="4"/>
  <c r="M242" i="4"/>
  <c r="L243" i="4"/>
  <c r="M243" i="4"/>
  <c r="L244" i="4"/>
  <c r="M244" i="4"/>
  <c r="L245" i="4"/>
  <c r="M245" i="4"/>
  <c r="L246" i="4"/>
  <c r="M246" i="4"/>
  <c r="L247" i="4"/>
  <c r="M247" i="4"/>
  <c r="L248" i="4"/>
  <c r="M248" i="4"/>
  <c r="L249" i="4"/>
  <c r="M249" i="4"/>
  <c r="L250" i="4"/>
  <c r="M250" i="4"/>
  <c r="L251" i="4"/>
  <c r="M251" i="4"/>
  <c r="L252" i="4"/>
  <c r="M252" i="4"/>
  <c r="L253" i="4"/>
  <c r="M253" i="4"/>
  <c r="L254" i="4"/>
  <c r="M254" i="4"/>
  <c r="L255" i="4"/>
  <c r="M255" i="4"/>
  <c r="L256" i="4"/>
  <c r="M256" i="4"/>
  <c r="L257" i="4"/>
  <c r="M257" i="4"/>
  <c r="L258" i="4"/>
  <c r="M258" i="4"/>
  <c r="L259" i="4"/>
  <c r="M259" i="4"/>
  <c r="L260" i="4"/>
  <c r="M260" i="4"/>
  <c r="L261" i="4"/>
  <c r="M261" i="4"/>
  <c r="L262" i="4"/>
  <c r="M262" i="4"/>
  <c r="L263" i="4"/>
  <c r="M263" i="4"/>
  <c r="L264" i="4"/>
  <c r="M264" i="4"/>
  <c r="L265" i="4"/>
  <c r="M265" i="4"/>
  <c r="L266" i="4"/>
  <c r="M266" i="4"/>
  <c r="L267" i="4"/>
  <c r="M267" i="4"/>
  <c r="L268" i="4"/>
  <c r="M268" i="4"/>
  <c r="L269" i="4"/>
  <c r="M269" i="4"/>
  <c r="L270" i="4"/>
  <c r="M270" i="4"/>
  <c r="L271" i="4"/>
  <c r="M271" i="4"/>
  <c r="L272" i="4"/>
  <c r="M272" i="4"/>
  <c r="L273" i="4"/>
  <c r="M273" i="4"/>
  <c r="L274" i="4"/>
  <c r="M274" i="4"/>
  <c r="L275" i="4"/>
  <c r="M275" i="4"/>
  <c r="L276" i="4"/>
  <c r="M276" i="4"/>
  <c r="L277" i="4"/>
  <c r="M277" i="4"/>
  <c r="L278" i="4"/>
  <c r="M278" i="4"/>
  <c r="L279" i="4"/>
  <c r="M279" i="4"/>
  <c r="L280" i="4"/>
  <c r="M280" i="4"/>
  <c r="L281" i="4"/>
  <c r="M281" i="4"/>
  <c r="L282" i="4"/>
  <c r="M282" i="4"/>
  <c r="L283" i="4"/>
  <c r="M283" i="4"/>
  <c r="L284" i="4"/>
  <c r="M284" i="4"/>
  <c r="L285" i="4"/>
  <c r="M285" i="4"/>
  <c r="L286" i="4"/>
  <c r="M286" i="4"/>
  <c r="L287" i="4"/>
  <c r="M287" i="4"/>
  <c r="L288" i="4"/>
  <c r="M288" i="4"/>
  <c r="L289" i="4"/>
  <c r="M289" i="4"/>
  <c r="L290" i="4"/>
  <c r="M290" i="4"/>
  <c r="L291"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2"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alcChain>
</file>

<file path=xl/sharedStrings.xml><?xml version="1.0" encoding="utf-8"?>
<sst xmlns="http://schemas.openxmlformats.org/spreadsheetml/2006/main" count="2416" uniqueCount="446">
  <si>
    <t>My Email Alias</t>
  </si>
  <si>
    <t>My Role</t>
  </si>
  <si>
    <t>Project Owner</t>
  </si>
  <si>
    <t>Project</t>
  </si>
  <si>
    <t>Location</t>
  </si>
  <si>
    <t>Date</t>
  </si>
  <si>
    <t>Start Time</t>
  </si>
  <si>
    <t>End Time</t>
  </si>
  <si>
    <t>Hours</t>
  </si>
  <si>
    <t>Activity Group</t>
  </si>
  <si>
    <t>Task Area</t>
  </si>
  <si>
    <t>IO</t>
  </si>
  <si>
    <t>Catalog Services Project</t>
  </si>
  <si>
    <t>Comments</t>
  </si>
  <si>
    <t>(All)</t>
  </si>
  <si>
    <t>Row Labels</t>
  </si>
  <si>
    <t>Sum of Hours</t>
  </si>
  <si>
    <t>(blank)</t>
  </si>
  <si>
    <t>Grand Total</t>
  </si>
  <si>
    <t>Role</t>
  </si>
  <si>
    <t>Details</t>
  </si>
  <si>
    <t>Billable?</t>
  </si>
  <si>
    <t>Part of LOE?</t>
  </si>
  <si>
    <t>Applies To</t>
  </si>
  <si>
    <t>CST - PM</t>
  </si>
  <si>
    <t>Bug Management</t>
  </si>
  <si>
    <t>Manage bug triage and fixing process and report status.</t>
  </si>
  <si>
    <t>-</t>
  </si>
  <si>
    <t>Yes</t>
  </si>
  <si>
    <t>SW and UE</t>
  </si>
  <si>
    <t>Communication and Reporting</t>
  </si>
  <si>
    <t>Email</t>
  </si>
  <si>
    <t>Reading and replying to email.</t>
  </si>
  <si>
    <t>Meetings</t>
  </si>
  <si>
    <t>Attending meetings about Microsoft-related projects, processes, workflows, etc.</t>
  </si>
  <si>
    <t>Reporting</t>
  </si>
  <si>
    <t>Researching and collecting data for reports, working on dashboards, and any other activity related to reporting data related to Microsoft projects, processes, and workflows. Examples include putting together weekly status reports, collecting data for KPIs, etc.</t>
  </si>
  <si>
    <t>Training to MS</t>
  </si>
  <si>
    <t>Any training that we provide to Microsoft.</t>
  </si>
  <si>
    <t>Feedback Management</t>
  </si>
  <si>
    <t>Community Contributions</t>
  </si>
  <si>
    <t>Monitoring, maintaining, triaging community contributions.</t>
  </si>
  <si>
    <t>Other</t>
  </si>
  <si>
    <t>Any feedback management work that is not tied to community contributions or verbatim feedback.</t>
  </si>
  <si>
    <t>Verbatim Feedback</t>
  </si>
  <si>
    <t xml:space="preserve">Monitoring, maintaining, triaging  verbatim feedback. </t>
  </si>
  <si>
    <t>Finance Management</t>
  </si>
  <si>
    <t>Manage invoicing, provide financial analysis of test projects and pilots, provide quotes.</t>
  </si>
  <si>
    <t>Anything that doesn't fall into one of the other Task Areas. All time tracking entires in this category must have a comment describing the work.</t>
  </si>
  <si>
    <t>Production Management</t>
  </si>
  <si>
    <t>Create and maintain project documentation, participate in pilots and test projects, manage resolutions of Moravia issues, monitor work volumes and alert Microsoft PMs of spikes/valleys, monitor volume forecasts, identify upcoming peaks and work with Microsoft on prioritation, manage end-to-end localization production workflows.</t>
  </si>
  <si>
    <t>Project Onboarding</t>
  </si>
  <si>
    <t>Receive new project onboarding requests/EOL expansions, prepare production for onboarding/EOL expansions.</t>
  </si>
  <si>
    <t>Quality Management</t>
  </si>
  <si>
    <t>Monitor and manage project linguistic quality.</t>
  </si>
  <si>
    <t>Schedule Management</t>
  </si>
  <si>
    <t>Drive loc schedules with Microsoft PMs, ensure projects are delivered as agreed, ensure TATs are met, create testing requirements as needed, prepare review/publishing schedules, schedule PoliCheck, FWLinks, and self-certification LQAs.</t>
  </si>
  <si>
    <t>Time Tracking</t>
  </si>
  <si>
    <t>Time spent tracking hours in the time tracking spreadsheet.</t>
  </si>
  <si>
    <t>No</t>
  </si>
  <si>
    <t>CST - Loc Engineer</t>
  </si>
  <si>
    <t>Batch processing</t>
  </si>
  <si>
    <t>Policheck, Resource Shift Management, TRES upload, FWLinks, Pending strings resolution.</t>
  </si>
  <si>
    <t>Bug Fixing</t>
  </si>
  <si>
    <t xml:space="preserve">Tracking, communicating with vendors, reviewing bug implementations, communication with MLS, reporting, creating test requests, fixing loc bugs, completing RCAs, managing bug statuses. </t>
  </si>
  <si>
    <t>Bug Triage</t>
  </si>
  <si>
    <t>Bug triage.</t>
  </si>
  <si>
    <t>Bulletproofing</t>
  </si>
  <si>
    <t>LocVer and OSLEBOT.</t>
  </si>
  <si>
    <t>SW</t>
  </si>
  <si>
    <t>Engineering Support</t>
  </si>
  <si>
    <t>Team Coordination</t>
  </si>
  <si>
    <t>Team and workload coordination.</t>
  </si>
  <si>
    <t>Workflow and Process Management</t>
  </si>
  <si>
    <t xml:space="preserve">Process and workflow alignment and improvement. </t>
  </si>
  <si>
    <t>Fabric – general</t>
  </si>
  <si>
    <t>Daily Fabric monitoring, Symfonie task creation, RQF management, Leaf/Fabric troubleshooting.</t>
  </si>
  <si>
    <t>File Work</t>
  </si>
  <si>
    <t>IPE review</t>
  </si>
  <si>
    <t>IPE review tasks on DevDiv.</t>
  </si>
  <si>
    <t>Non-standard localization workflow</t>
  </si>
  <si>
    <t>OSS localization work in Transifex, OSS localization work in Oddjob, DLC page localization (XML based), any other non-standard format localization work, etc.</t>
  </si>
  <si>
    <t>Post-processing</t>
  </si>
  <si>
    <t>Fix validation issues, LEAF notification monitoring, QA/validation/checks, TRAP 6 to TRAP 7, in-house HB check fixes, string consistency checks, term consistency checks</t>
  </si>
  <si>
    <t>Pre-processing</t>
  </si>
  <si>
    <t>Manage updated to new strings, loctrain updates, review strings, branch change verification, Webhooks Symfonie automation, AT string review (&lt;100%), ondemand loctrains, spike/end-game management, string loctrain TRAP markup, pretranslation from TM, pretranslation from MT, fileter/select Art files to be localized.</t>
  </si>
  <si>
    <t>HO/HB Work</t>
  </si>
  <si>
    <t>Multimedia HO/HB Work</t>
  </si>
  <si>
    <t>Request/deliver texts/captions for video subtitling.</t>
  </si>
  <si>
    <t>UE</t>
  </si>
  <si>
    <t>Standard HO/HB Work</t>
  </si>
  <si>
    <t>Prepare Moravia systems for automated HOs/HBs, perform manual HOs using agreed tools, monitor HO success in Moravia and MS tools to ensure all/correct files delivered, investigate HO/HB issues, escalate HO/HB issues, deliver HO/HB reports, generate forecasting report.</t>
  </si>
  <si>
    <t>This is to cover for any work that doesn't fall into one of the other areas/subareas.</t>
  </si>
  <si>
    <t>Project Initiation Phase</t>
  </si>
  <si>
    <t>New project onboarding.</t>
  </si>
  <si>
    <t>Publishing</t>
  </si>
  <si>
    <t>Upload or push files to their final stage in order to get it "Live" for end-users.</t>
  </si>
  <si>
    <t>In-context Review</t>
  </si>
  <si>
    <t>Bug reporting data prep, creating instructions, Symfonie Task creation, bug creation/fixing/resolution, DevDiv screenshot creation.</t>
  </si>
  <si>
    <t>Linguistic QA</t>
  </si>
  <si>
    <t>Prep files for LQA, first and second review of vendor work, check vendor implementation, batch import template, vendor/reviewer follow up, Issue Tracker review process, random spotchecks, self-cert prep, string prep, Symfonie 2 task coordination, monitor LQA status.</t>
  </si>
  <si>
    <t>Source Management</t>
  </si>
  <si>
    <t>MOR ENG escalate Source issues: monitor data sources, escalate Source Issues to MS and follow-up on the escalations</t>
  </si>
  <si>
    <t>Terminology Management</t>
  </si>
  <si>
    <t>TCR production quotes, implement Term Changes as agreed and provide TCR status information, keep CAT tool glossaries updated, glossary updates, manage false positives, term mining, TCR bug management</t>
  </si>
  <si>
    <t>Vendor Management</t>
  </si>
  <si>
    <t>Query Management</t>
  </si>
  <si>
    <t>Monitoring vendor queries, investigation queries, logging/updating bugs, updating VCQ info in LEAF.</t>
  </si>
  <si>
    <t>Vendor Coordination</t>
  </si>
  <si>
    <t>Assign work to vendors, financial and administrative support for vendors, technical support for vendors, prep project-specific instructions, train vendors, investigate/prep effective report wordcounts, general Symfonie task communication, record errors in translation.</t>
  </si>
  <si>
    <t>CST - P-IPE</t>
  </si>
  <si>
    <t>Build Enablement</t>
  </si>
  <si>
    <t>Build Work</t>
  </si>
  <si>
    <t>Refers to the work related to build validation tasks carried out by the L-IPEs (manual check in, manual lsbuild generate, accept pulling requests, etc.)</t>
  </si>
  <si>
    <t>LocVer and OSLEBOT</t>
  </si>
  <si>
    <t>Team Support</t>
  </si>
  <si>
    <t>Monitoring and troubleshooting workflows. Investigating MS tool issues and escalate to MS, platform/tools support (Leaf, Fabric, Effective Reports, Airloc, OL, iCMS, Github), escalate loc issues to knowledge leaders and support issues for investigation, PM support, technical/knowledge sharing, answer production questions/concerns.</t>
  </si>
  <si>
    <t>CST - L-IPE</t>
  </si>
  <si>
    <t>CST - Knowledge Leader</t>
  </si>
  <si>
    <t>CST - Content Support Engineer</t>
  </si>
  <si>
    <t>DTP &amp; Multimedia</t>
  </si>
  <si>
    <t>DTP</t>
  </si>
  <si>
    <t>All desktop publishing work.</t>
  </si>
  <si>
    <t>Multimeda</t>
  </si>
  <si>
    <t>Multimedia</t>
  </si>
  <si>
    <t>All multimedia work (video, audio, etc.).</t>
  </si>
  <si>
    <t>Graphics</t>
  </si>
  <si>
    <t>Art Development</t>
  </si>
  <si>
    <t>All work related to art (makeup, etc.).</t>
  </si>
  <si>
    <t>Linguistic Services</t>
  </si>
  <si>
    <t>Customer Feedback Review</t>
  </si>
  <si>
    <r>
      <rPr>
        <b/>
        <sz val="11"/>
        <color theme="1"/>
        <rFont val="Calibri"/>
        <family val="2"/>
        <scheme val="minor"/>
      </rPr>
      <t xml:space="preserve">Linguistic Services Manager </t>
    </r>
    <r>
      <rPr>
        <sz val="11"/>
        <color theme="1"/>
        <rFont val="Calibri"/>
        <family val="2"/>
        <scheme val="minor"/>
      </rPr>
      <t>- Scope and resource screenshot reviews, community reviews, Sub reviews, SME reviews, Community contributions, Verbatim feedback, and any other client feedback, including preparation of summary report, when requested. Production team takes care of scheduling, managing the task with LMs and sending them POs.</t>
    </r>
  </si>
  <si>
    <t>Linguistic Bug Management</t>
  </si>
  <si>
    <r>
      <rPr>
        <b/>
        <sz val="11"/>
        <color theme="1"/>
        <rFont val="Calibri"/>
        <family val="2"/>
        <scheme val="minor"/>
      </rPr>
      <t>Linguistic Services Manager</t>
    </r>
    <r>
      <rPr>
        <sz val="11"/>
        <color theme="1"/>
        <rFont val="Calibri"/>
        <family val="2"/>
        <scheme val="minor"/>
      </rPr>
      <t xml:space="preserve"> - Triage, resolution and management of linguistic bugs and related communications.
</t>
    </r>
    <r>
      <rPr>
        <b/>
        <sz val="11"/>
        <color theme="1"/>
        <rFont val="Calibri"/>
        <family val="2"/>
        <scheme val="minor"/>
      </rPr>
      <t xml:space="preserve">Language Moderator </t>
    </r>
    <r>
      <rPr>
        <sz val="11"/>
        <color theme="1"/>
        <rFont val="Calibri"/>
        <family val="2"/>
        <scheme val="minor"/>
      </rPr>
      <t>- Research, commenting and resolution of linguistic bugs.
This is invoiced against the Terminology IO.</t>
    </r>
  </si>
  <si>
    <t>Linguistic Resource Management</t>
  </si>
  <si>
    <t>Knowledge Management</t>
  </si>
  <si>
    <r>
      <rPr>
        <b/>
        <sz val="11"/>
        <color theme="1"/>
        <rFont val="Calibri"/>
        <family val="2"/>
        <scheme val="minor"/>
      </rPr>
      <t>Linguistic Services Manager</t>
    </r>
    <r>
      <rPr>
        <sz val="11"/>
        <color theme="1"/>
        <rFont val="Calibri"/>
        <family val="2"/>
        <scheme val="minor"/>
      </rPr>
      <t xml:space="preserve"> - Creation, maintenance and update of Wiki sections, reference or training material, instructions, recommendations, etc. Preparation and delivery of specialized product training sessions for linguists.</t>
    </r>
  </si>
  <si>
    <r>
      <rPr>
        <b/>
        <sz val="11"/>
        <color theme="1"/>
        <rFont val="Calibri"/>
        <family val="2"/>
        <scheme val="minor"/>
      </rPr>
      <t xml:space="preserve">Linguistic Services Manager </t>
    </r>
    <r>
      <rPr>
        <sz val="11"/>
        <color theme="1"/>
        <rFont val="Calibri"/>
        <family val="2"/>
        <scheme val="minor"/>
      </rPr>
      <t>- Management of LMs, SMEs or other linguistic resources. Communications with and coordination of LM and translation partner pools. Monthly LM engagement calls.</t>
    </r>
  </si>
  <si>
    <r>
      <rPr>
        <b/>
        <sz val="11"/>
        <color theme="1"/>
        <rFont val="Calibri"/>
        <family val="2"/>
        <scheme val="minor"/>
      </rPr>
      <t>Linguistic Services Manager</t>
    </r>
    <r>
      <rPr>
        <sz val="11"/>
        <color theme="1"/>
        <rFont val="Calibri"/>
        <family val="2"/>
        <scheme val="minor"/>
      </rPr>
      <t xml:space="preserve"> - Triage, assignment, filtering and resolution of linguistic queries.
</t>
    </r>
    <r>
      <rPr>
        <b/>
        <sz val="11"/>
        <color theme="1"/>
        <rFont val="Calibri"/>
        <family val="2"/>
        <scheme val="minor"/>
      </rPr>
      <t xml:space="preserve">Language Moderator </t>
    </r>
    <r>
      <rPr>
        <sz val="11"/>
        <color theme="1"/>
        <rFont val="Calibri"/>
        <family val="2"/>
        <scheme val="minor"/>
      </rPr>
      <t>- Research and answer linguistic queries.</t>
    </r>
  </si>
  <si>
    <t>Vendor Quality Management</t>
  </si>
  <si>
    <r>
      <rPr>
        <b/>
        <sz val="11"/>
        <color theme="1"/>
        <rFont val="Calibri"/>
        <family val="2"/>
        <scheme val="minor"/>
      </rPr>
      <t xml:space="preserve">Vendor Quality Manager </t>
    </r>
    <r>
      <rPr>
        <sz val="11"/>
        <color theme="1"/>
        <rFont val="Calibri"/>
        <family val="2"/>
        <scheme val="minor"/>
      </rPr>
      <t>- Manage, track and report vendor quality performance. Drive RCAs on internal and client escalations, discuss and agree CAPA plans with vendors. Log relevant loc tickets and update them until final resolution.</t>
    </r>
  </si>
  <si>
    <t>Quality</t>
  </si>
  <si>
    <t>Linguistic/LQA Review</t>
  </si>
  <si>
    <r>
      <t xml:space="preserve">This task is usually non-billable but it can be billable if it's explicitly commissioned by MS IPM.
</t>
    </r>
    <r>
      <rPr>
        <b/>
        <sz val="11"/>
        <color theme="1"/>
        <rFont val="Calibri"/>
        <family val="2"/>
        <scheme val="minor"/>
      </rPr>
      <t>Linguistic Services Manager</t>
    </r>
    <r>
      <rPr>
        <sz val="11"/>
        <color theme="1"/>
        <rFont val="Calibri"/>
        <family val="2"/>
        <scheme val="minor"/>
      </rPr>
      <t xml:space="preserve"> - Scheduling, scoping, creation of LQA task, arbitration process driven by MLS and implementation of LQA corrections driven by Production team.
</t>
    </r>
    <r>
      <rPr>
        <b/>
        <sz val="11"/>
        <color theme="1"/>
        <rFont val="Calibri"/>
        <family val="2"/>
        <scheme val="minor"/>
      </rPr>
      <t>Language Moderator</t>
    </r>
    <r>
      <rPr>
        <sz val="11"/>
        <color theme="1"/>
        <rFont val="Calibri"/>
        <family val="2"/>
        <scheme val="minor"/>
      </rPr>
      <t xml:space="preserve"> - Perform LQA, Live Page review or linguistic review, as per agreed instructions and workflow.</t>
    </r>
  </si>
  <si>
    <t>Other Internal Tasks</t>
  </si>
  <si>
    <r>
      <rPr>
        <b/>
        <sz val="11"/>
        <color theme="1"/>
        <rFont val="Calibri"/>
        <family val="2"/>
        <scheme val="minor"/>
      </rPr>
      <t>Language Moderator</t>
    </r>
    <r>
      <rPr>
        <sz val="11"/>
        <color theme="1"/>
        <rFont val="Calibri"/>
        <family val="2"/>
        <scheme val="minor"/>
      </rPr>
      <t xml:space="preserve"> - Ongoing Linguistic Support - Communication with translation teams, meetings with MLS team.</t>
    </r>
  </si>
  <si>
    <r>
      <rPr>
        <b/>
        <sz val="11"/>
        <color theme="1"/>
        <rFont val="Calibri"/>
        <family val="2"/>
        <scheme val="minor"/>
      </rPr>
      <t xml:space="preserve">Linguistic Services Group Manager &amp; Production Quality Manager </t>
    </r>
    <r>
      <rPr>
        <sz val="11"/>
        <color theme="1"/>
        <rFont val="Calibri"/>
        <family val="2"/>
        <scheme val="minor"/>
      </rPr>
      <t>- Quality strategy, management and planning. Design e2e quality assurance processes and tools at project level and co-ordinate their deployment with Production teams. Regularly update Strategic Quality Plan, add new initiatives and track their progress. Scope and adequately resource new tasks. Ad-hoc calls with MS IPMs and Quality PoC.
This is invoiced against the Terminology IO.</t>
    </r>
  </si>
  <si>
    <t>Quality Reporting</t>
  </si>
  <si>
    <r>
      <rPr>
        <b/>
        <sz val="11"/>
        <color theme="1"/>
        <rFont val="Calibri"/>
        <family val="2"/>
        <scheme val="minor"/>
      </rPr>
      <t xml:space="preserve">Linguistic Services Group Manager &amp; Production Quality Manager </t>
    </r>
    <r>
      <rPr>
        <sz val="11"/>
        <color theme="1"/>
        <rFont val="Calibri"/>
        <family val="2"/>
        <scheme val="minor"/>
      </rPr>
      <t>- Creation, maintenance and update of weekly, QBR and ad-hoc reports and dashboards. Perform RCAs and report on internal and MS-generated escalations. Design and maintenance of quality framework: scorecards, formulas, dashboards and reports. Weekly calls with Quality PoC.
This is invoiced against the Terminology IO.</t>
    </r>
  </si>
  <si>
    <t>Style Guide</t>
  </si>
  <si>
    <r>
      <rPr>
        <b/>
        <sz val="11"/>
        <color theme="1"/>
        <rFont val="Calibri"/>
        <family val="2"/>
        <scheme val="minor"/>
      </rPr>
      <t>Linguistic Services  Manager</t>
    </r>
    <r>
      <rPr>
        <sz val="11"/>
        <color theme="1"/>
        <rFont val="Calibri"/>
        <family val="2"/>
        <scheme val="minor"/>
      </rPr>
      <t xml:space="preserve"> - Creation, maintenance and update of Style Guide sections, and related communications. Coordination with other MS groups. Provide feedback on new style guide topics.
</t>
    </r>
    <r>
      <rPr>
        <b/>
        <sz val="11"/>
        <color theme="1"/>
        <rFont val="Calibri"/>
        <family val="2"/>
        <scheme val="minor"/>
      </rPr>
      <t xml:space="preserve">Language Moderator </t>
    </r>
    <r>
      <rPr>
        <sz val="11"/>
        <color theme="1"/>
        <rFont val="Calibri"/>
        <family val="2"/>
        <scheme val="minor"/>
      </rPr>
      <t>- Creation and update of language-specific Style Guide sections.
This is invoiced against the Terminology IO.</t>
    </r>
  </si>
  <si>
    <t>Terminology</t>
  </si>
  <si>
    <t>Ad-hoc Terminology Tasks</t>
  </si>
  <si>
    <r>
      <rPr>
        <b/>
        <sz val="11"/>
        <color theme="1"/>
        <rFont val="Calibri"/>
        <family val="2"/>
        <scheme val="minor"/>
      </rPr>
      <t>Language Moderator &amp; Source Terminologist</t>
    </r>
    <r>
      <rPr>
        <sz val="11"/>
        <color theme="1"/>
        <rFont val="Calibri"/>
        <family val="2"/>
        <scheme val="minor"/>
      </rPr>
      <t xml:space="preserve"> - Analysis and research of terminology escalations and queries from client, TCR justification, term preparation for triage, suggesting new terminology in MOR portal.
This is invoiced against the Terminology IO.</t>
    </r>
  </si>
  <si>
    <t>Terminology Admin</t>
  </si>
  <si>
    <r>
      <rPr>
        <b/>
        <sz val="11"/>
        <color theme="1"/>
        <rFont val="Calibri"/>
        <family val="2"/>
        <scheme val="minor"/>
      </rPr>
      <t>Terminology PM</t>
    </r>
    <r>
      <rPr>
        <sz val="11"/>
        <color theme="1"/>
        <rFont val="Calibri"/>
        <family val="2"/>
        <scheme val="minor"/>
      </rPr>
      <t xml:space="preserve"> - Low level terminology management tasks, such as communication with LTG-PTG teams, training to production teams, internal meetings. Training / Instructions on TS, workshops to LMs. Management of TCRs.</t>
    </r>
  </si>
  <si>
    <t>Terminology Management/Consulting</t>
  </si>
  <si>
    <r>
      <rPr>
        <b/>
        <sz val="11"/>
        <color theme="1"/>
        <rFont val="Calibri"/>
        <family val="2"/>
        <scheme val="minor"/>
      </rPr>
      <t>Terminology PM + Source Terminologist</t>
    </r>
    <r>
      <rPr>
        <sz val="11"/>
        <color theme="1"/>
        <rFont val="Calibri"/>
        <family val="2"/>
        <scheme val="minor"/>
      </rPr>
      <t xml:space="preserve"> - Medium and high-level terminology management tasks, such as analysis of terminology in TermStudio to create TSQs, term reviews, comparison of term sets to assess viability of TM merging, search for duplicate concepts, solving terminology queries from MS IPMs; terminology checks after handbacks to look for related concepts and derivative terms; checking community review bugs for integrated consistency. Identification of TCRs resulting from LQAs, screenshot review, community review initiatives. Hand off target terms to LMs for translation and monitoring execution of task. Hand off to source terminologist. Maintenance of terminology documentation, wiki section and reference material. Communications with LMs. Regular TermStudio review to check feedback provided on CnE terminology, or to to identify TCRs from other MS groups. Support for the production teams and language moderators related to source.
This is invoiced against the Terminology IO.</t>
    </r>
  </si>
  <si>
    <t>Terminology Mining</t>
  </si>
  <si>
    <r>
      <rPr>
        <b/>
        <sz val="11"/>
        <color theme="1"/>
        <rFont val="Calibri"/>
        <family val="2"/>
        <scheme val="minor"/>
      </rPr>
      <t>Source Terminologist</t>
    </r>
    <r>
      <rPr>
        <sz val="11"/>
        <color theme="1"/>
        <rFont val="Calibri"/>
        <family val="2"/>
        <scheme val="minor"/>
      </rPr>
      <t xml:space="preserve"> - Harvesting of proposed term candidates in new content, submitting new terminology in Term Studio, creation of clear definitions, addition of product/technology metadata.
</t>
    </r>
    <r>
      <rPr>
        <b/>
        <sz val="11"/>
        <color theme="1"/>
        <rFont val="Calibri"/>
        <family val="2"/>
        <scheme val="minor"/>
      </rPr>
      <t>Terminology PM</t>
    </r>
    <r>
      <rPr>
        <sz val="11"/>
        <color theme="1"/>
        <rFont val="Calibri"/>
        <family val="2"/>
        <scheme val="minor"/>
      </rPr>
      <t xml:space="preserve"> - Management of mining tasks.</t>
    </r>
  </si>
  <si>
    <t>Terminology Translation</t>
  </si>
  <si>
    <r>
      <rPr>
        <b/>
        <sz val="11"/>
        <color theme="1"/>
        <rFont val="Calibri"/>
        <family val="2"/>
        <scheme val="minor"/>
      </rPr>
      <t xml:space="preserve">Language Moderator </t>
    </r>
    <r>
      <rPr>
        <sz val="11"/>
        <color theme="1"/>
        <rFont val="Calibri"/>
        <family val="2"/>
        <scheme val="minor"/>
      </rPr>
      <t>- Translation of source terms in TermStudio.</t>
    </r>
  </si>
  <si>
    <t>Training</t>
  </si>
  <si>
    <t>Training to MOR</t>
  </si>
  <si>
    <r>
      <rPr>
        <b/>
        <sz val="11"/>
        <color theme="1"/>
        <rFont val="Calibri"/>
        <family val="2"/>
        <scheme val="minor"/>
      </rPr>
      <t>Linguistic Services Manager</t>
    </r>
    <r>
      <rPr>
        <sz val="11"/>
        <color theme="1"/>
        <rFont val="Calibri"/>
        <family val="2"/>
        <scheme val="minor"/>
      </rPr>
      <t xml:space="preserve"> - Training sessions provided to internal teams, LMs or translation teams, including preparation time</t>
    </r>
  </si>
  <si>
    <r>
      <rPr>
        <b/>
        <sz val="11"/>
        <color theme="1"/>
        <rFont val="Calibri"/>
        <family val="2"/>
        <scheme val="minor"/>
      </rPr>
      <t>Linguistic Services Manager &amp; Terminology PM</t>
    </r>
    <r>
      <rPr>
        <sz val="11"/>
        <color theme="1"/>
        <rFont val="Calibri"/>
        <family val="2"/>
        <scheme val="minor"/>
      </rPr>
      <t xml:space="preserve"> - Training sessions provided to the client, including preparation time
This is invoiced against the Terminology IO.</t>
    </r>
  </si>
  <si>
    <t>Program Service</t>
  </si>
  <si>
    <t>Managing invoicing and other financial matters. Applies only to people who are part of the Program Service.</t>
  </si>
  <si>
    <t>Managing vendors and vendor relationships, rate negotiations, etc. Applies only to BPG.</t>
  </si>
  <si>
    <t>Administrative</t>
  </si>
  <si>
    <t>E-mail alias management, RAS access, other general admin work.</t>
  </si>
  <si>
    <t>Management</t>
  </si>
  <si>
    <t>All other time for people who are part of the Program Service.</t>
  </si>
  <si>
    <t>All</t>
  </si>
  <si>
    <t>General</t>
  </si>
  <si>
    <t>Administrative Time</t>
  </si>
  <si>
    <t>Consultancy</t>
  </si>
  <si>
    <t>Doctor visit</t>
  </si>
  <si>
    <t>Visit confirmed by a doctor, needs to be approved by a direct manager. N/A in China.</t>
  </si>
  <si>
    <t>Downtime</t>
  </si>
  <si>
    <t>Holiday</t>
  </si>
  <si>
    <t>Official holiday.</t>
  </si>
  <si>
    <t>Illness</t>
  </si>
  <si>
    <t>Illness confirmed by a doctor, local rules apply.</t>
  </si>
  <si>
    <t>Internal Meeting</t>
  </si>
  <si>
    <t>Lunch Break</t>
  </si>
  <si>
    <t>N/A in Czech. N/A in China.</t>
  </si>
  <si>
    <t>Performance Management</t>
  </si>
  <si>
    <t>Research</t>
  </si>
  <si>
    <t>Sick day</t>
  </si>
  <si>
    <t>In Czech Rep. there is 2 days a year allowance to stay home while ill without doctor's confirmation. In ARG you need doctor's certification and inform ARG HR.  N/A in China.</t>
  </si>
  <si>
    <t>Study instructions</t>
  </si>
  <si>
    <t>Any traiinng that is not related to our work with Microsoft. For example, this could be HR-required training, training to/from other Moravia BUs about our workflows, etc. If there is a question, talk with your manager.</t>
  </si>
  <si>
    <t>Travel</t>
  </si>
  <si>
    <t>Vacation</t>
  </si>
  <si>
    <t>Standard vacation.</t>
  </si>
  <si>
    <t>NAV project Name and Number</t>
  </si>
  <si>
    <t>Project Owners</t>
  </si>
  <si>
    <t>People</t>
  </si>
  <si>
    <t>CST Content Support Engineer</t>
  </si>
  <si>
    <t>CST PM</t>
  </si>
  <si>
    <t>Admin</t>
  </si>
  <si>
    <t>Administrative Time (384)</t>
  </si>
  <si>
    <t>_Not Billable</t>
  </si>
  <si>
    <t>CnE_BPG_ProgramService (20170922)</t>
  </si>
  <si>
    <t>Not Billable</t>
  </si>
  <si>
    <t>N/A</t>
  </si>
  <si>
    <t>CECILIAAC</t>
  </si>
  <si>
    <t>AR</t>
  </si>
  <si>
    <t>CST Knowledge Leader</t>
  </si>
  <si>
    <t>AR Certified Paid Leave (450)</t>
  </si>
  <si>
    <t>_Not Project Specific</t>
  </si>
  <si>
    <t>CnE_Eng_ProgramService (20170918)</t>
  </si>
  <si>
    <t>JAVIERA</t>
  </si>
  <si>
    <t>CST L IPE</t>
  </si>
  <si>
    <t>ARG Board (713)</t>
  </si>
  <si>
    <t>Andrei Cernauteanu</t>
  </si>
  <si>
    <t>CnE_MGMT_ProgramService (20170923)</t>
  </si>
  <si>
    <t>CnE_SW_AndreiC (20170729)</t>
  </si>
  <si>
    <t>GinoB</t>
  </si>
  <si>
    <t>CN - Beijing</t>
  </si>
  <si>
    <t>CST Loc Engineer</t>
  </si>
  <si>
    <t>Barnabas Nagy</t>
  </si>
  <si>
    <t>CnE_MLS_ProgramService (20170921)</t>
  </si>
  <si>
    <t>CnE_MLS_CatalogueServices (20170920)</t>
  </si>
  <si>
    <t>Content and SW Terminology (1631046)</t>
  </si>
  <si>
    <t>CnE_SW_BarnabasN (20170730)</t>
  </si>
  <si>
    <t>PEDROBE</t>
  </si>
  <si>
    <t>CST P IPE</t>
  </si>
  <si>
    <t>Doctor Visit</t>
  </si>
  <si>
    <t>Federico Macagno</t>
  </si>
  <si>
    <t>CnE_SW_ProgramService (20170736)</t>
  </si>
  <si>
    <t>CnE_SW_Fmacagno (20170731)</t>
  </si>
  <si>
    <t>TerezaBr</t>
  </si>
  <si>
    <t>CZ</t>
  </si>
  <si>
    <t>Fernando Diaz</t>
  </si>
  <si>
    <t>CnE_UE_ProgramService (20170843)</t>
  </si>
  <si>
    <t>CnE_SW_Azure_Data_AndreiC (20170712)</t>
  </si>
  <si>
    <t>SW_Azure_Data (1647782)</t>
  </si>
  <si>
    <t>CnE_UE_FernandoD (20170837)</t>
  </si>
  <si>
    <t>PaulaB</t>
  </si>
  <si>
    <t>US</t>
  </si>
  <si>
    <t>Jan Baltus</t>
  </si>
  <si>
    <t>CnE_SW_Azure_Data_BarnabasN (20170714)</t>
  </si>
  <si>
    <t>CnE_SW_JBaltus (20170732)</t>
  </si>
  <si>
    <t>CCASERIO</t>
  </si>
  <si>
    <t>BPG</t>
  </si>
  <si>
    <t>Jose Aznar</t>
  </si>
  <si>
    <t>CnE_SW_CSTGeneral (20170927)</t>
  </si>
  <si>
    <t>CnE_SW_Azure_Data_FMacagno (20171304)</t>
  </si>
  <si>
    <t>MBerankova</t>
  </si>
  <si>
    <t>Monserrat Calzada</t>
  </si>
  <si>
    <t>CnE_UE_CSTGeneral (20170925)</t>
  </si>
  <si>
    <t>CnE_SW_Azure_Data_SabrinaL (20171307)</t>
  </si>
  <si>
    <t>CnE_UE_MonserratC (20170838)</t>
  </si>
  <si>
    <t>LChaloupka</t>
  </si>
  <si>
    <t>Lunch Break (439)</t>
  </si>
  <si>
    <t>Raimundo Sabao</t>
  </si>
  <si>
    <t>CnE_SW_Azure_Data_VVasikova (20170724)</t>
  </si>
  <si>
    <t>CnE_UE_RaimundoS (20170839)</t>
  </si>
  <si>
    <t>ChampC</t>
  </si>
  <si>
    <t>CN - Nanjing</t>
  </si>
  <si>
    <t>Sabrina Lang</t>
  </si>
  <si>
    <t>CnE_SW_BA_AndreiC (20171303)</t>
  </si>
  <si>
    <t>SW_BA (1647783)</t>
  </si>
  <si>
    <t>CnE_SW_SabrinaL (20170733)</t>
  </si>
  <si>
    <t>LUCIANAC</t>
  </si>
  <si>
    <t>Recovered Time</t>
  </si>
  <si>
    <t>Tibor Sipos</t>
  </si>
  <si>
    <t>CnE_SW_EnterpriseMobiltyECM_AndreiC (20170713)</t>
  </si>
  <si>
    <t>CnE_SW_BA_BarnabasN (20170715)</t>
  </si>
  <si>
    <t>CnE_UE_TiborS (20170840)</t>
  </si>
  <si>
    <t>SANTIAGOC</t>
  </si>
  <si>
    <t>Batch Processing</t>
  </si>
  <si>
    <t>Timothy Hartling</t>
  </si>
  <si>
    <t>CnE_SW_BA_FMacagno (20170716)</t>
  </si>
  <si>
    <t>CnE_SW_TimothyH (20170734)</t>
  </si>
  <si>
    <t>ELISEOC</t>
  </si>
  <si>
    <t>Sick Day (58)</t>
  </si>
  <si>
    <t>Veronika Vasikova</t>
  </si>
  <si>
    <t>CnE_SW_BA_SabrinaL (20170719)</t>
  </si>
  <si>
    <t>CnE_SW_Vvasikova (20170735)</t>
  </si>
  <si>
    <t>JEREMIASD</t>
  </si>
  <si>
    <t>Study Instructions (430)</t>
  </si>
  <si>
    <t>Not Project Specific</t>
  </si>
  <si>
    <t>DARIODG</t>
  </si>
  <si>
    <t>CnE_SW_DevTools_JBaltus (20170718)</t>
  </si>
  <si>
    <t>SW_DevTools (1647772)</t>
  </si>
  <si>
    <t>RAMIRODG</t>
  </si>
  <si>
    <t>CnE_SW_G&amp;E_FMacagno (20171305)</t>
  </si>
  <si>
    <t>CnE_SW_Devtools_SabrinaL (20171306)</t>
  </si>
  <si>
    <t>CharnCh</t>
  </si>
  <si>
    <t>Fabric General</t>
  </si>
  <si>
    <t>Vacation (56)</t>
  </si>
  <si>
    <t>CnE_UE_Azure_FernandoD (20170844)</t>
  </si>
  <si>
    <t>CnE_SW_DevTools_VVasikova (20170727)</t>
  </si>
  <si>
    <t>AlanDMC</t>
  </si>
  <si>
    <t>SW_Enterprise Mobility_ECM (1647774)</t>
  </si>
  <si>
    <t>GABRIELAD</t>
  </si>
  <si>
    <t>CnE_UE_DevTools_JoseA (20170864)</t>
  </si>
  <si>
    <t>CnE_SW_EnterpriseMobiltyIden_TimothyH (20170721)</t>
  </si>
  <si>
    <t>SW_Enterprise Mobility_Iden (1647775)</t>
  </si>
  <si>
    <t>Pdostalek</t>
  </si>
  <si>
    <t>HO HB Work</t>
  </si>
  <si>
    <t>CnE_UE_G&amp;E_JoseA (20170863)</t>
  </si>
  <si>
    <t>CnE_SW_EnterpriseMobiltySec_TimothyH (20170722)</t>
  </si>
  <si>
    <t>SW_Enterprise Mobility_Sec (1647781)</t>
  </si>
  <si>
    <t>MDriml</t>
  </si>
  <si>
    <t>CnE_UE_Azure_MonserratC (20171274)</t>
  </si>
  <si>
    <t>SW_G&amp;E (1647786)</t>
  </si>
  <si>
    <t>ValentinaA</t>
  </si>
  <si>
    <t>IR</t>
  </si>
  <si>
    <t>Training to/from MS</t>
  </si>
  <si>
    <t>CnE_UE_BizApps_MonserratC (20170847)</t>
  </si>
  <si>
    <t>CnE_SW_G&amp;E_TimothyH (20171308)</t>
  </si>
  <si>
    <t>SOLEDADE</t>
  </si>
  <si>
    <t>CnE_UE_G&amp;E_MonserratC (20170846)</t>
  </si>
  <si>
    <t>CnE_SW_MSR_AI_SabrinaL (20170720)</t>
  </si>
  <si>
    <t>SW_MSR-AI (1647788)</t>
  </si>
  <si>
    <t>CECILIADL</t>
  </si>
  <si>
    <t>CnE_UE_BizApps_RaimundoS (20170850)</t>
  </si>
  <si>
    <t>CnE_SW_MSR_AI_VVasikova (20170723)</t>
  </si>
  <si>
    <t>XIMENAE</t>
  </si>
  <si>
    <t>CnE_UE_DevTools_RaimundoS (20170849)</t>
  </si>
  <si>
    <t>Ekundinge</t>
  </si>
  <si>
    <t>CnE_UE_G&amp;E_RaimundoS (20170848)</t>
  </si>
  <si>
    <t>Content_Azure (1647764)</t>
  </si>
  <si>
    <t>LUCASF</t>
  </si>
  <si>
    <t>Vnemeckova</t>
  </si>
  <si>
    <t>CnE_UE_Azure_TiborS (20170854)</t>
  </si>
  <si>
    <t>GABRIELGA</t>
  </si>
  <si>
    <t>Content_BizApps (1647767)</t>
  </si>
  <si>
    <t>RobertoG</t>
  </si>
  <si>
    <t>ES</t>
  </si>
  <si>
    <t>ShwetaG</t>
  </si>
  <si>
    <t>HU</t>
  </si>
  <si>
    <t>CnE_UE_BizApps_TiborS (20170857)</t>
  </si>
  <si>
    <t>SherryG</t>
  </si>
  <si>
    <t>SusanG</t>
  </si>
  <si>
    <t>CnE_UE_DevTools_TiborS (20170856)</t>
  </si>
  <si>
    <t>Content_DevTools (1647760)</t>
  </si>
  <si>
    <t>GGUITART</t>
  </si>
  <si>
    <t>CnE_UE_EnterpriseMobilty_TiborS (20170860)</t>
  </si>
  <si>
    <t>AHavetta</t>
  </si>
  <si>
    <t>CnE_UE_G&amp;E_TiborS (20170855)</t>
  </si>
  <si>
    <t>JHosek</t>
  </si>
  <si>
    <t>Content_EnterpriseMobility (1647763)</t>
  </si>
  <si>
    <t>ANABELAH</t>
  </si>
  <si>
    <t>Content_G&amp;E (1647768)</t>
  </si>
  <si>
    <t>KGasova</t>
  </si>
  <si>
    <t>TJuranek</t>
  </si>
  <si>
    <t>SKlic</t>
  </si>
  <si>
    <t>RKohler</t>
  </si>
  <si>
    <t>LKroupova</t>
  </si>
  <si>
    <t>JMGUEVARA</t>
  </si>
  <si>
    <t>MLABORDE</t>
  </si>
  <si>
    <t>GLAMBRI</t>
  </si>
  <si>
    <t>LAUTAROL</t>
  </si>
  <si>
    <t>HHebelkova</t>
  </si>
  <si>
    <t>ChlorisL</t>
  </si>
  <si>
    <t>JohnnyL</t>
  </si>
  <si>
    <t>JHrdlicka</t>
  </si>
  <si>
    <t>LAUTAROLU</t>
  </si>
  <si>
    <t>RieK</t>
  </si>
  <si>
    <t>JPY</t>
  </si>
  <si>
    <t>LEONMA</t>
  </si>
  <si>
    <t>PMarek</t>
  </si>
  <si>
    <t>GRACIELAK</t>
  </si>
  <si>
    <t>ZMargitay</t>
  </si>
  <si>
    <t>Mkufhaber</t>
  </si>
  <si>
    <t>MLMATTEI</t>
  </si>
  <si>
    <t>DTP and Multimedia</t>
  </si>
  <si>
    <t>Pmoll</t>
  </si>
  <si>
    <t>CECILIAN</t>
  </si>
  <si>
    <t>SNovotny</t>
  </si>
  <si>
    <t>Fabric – General</t>
  </si>
  <si>
    <t>SANTIAGOOR</t>
  </si>
  <si>
    <t>MPazderova</t>
  </si>
  <si>
    <t>JOAQUINPE</t>
  </si>
  <si>
    <t>ANALIAP</t>
  </si>
  <si>
    <t>IPE Review</t>
  </si>
  <si>
    <t>DAVIDP</t>
  </si>
  <si>
    <t>Non-Standard Localization Workflow</t>
  </si>
  <si>
    <t>CLARARE</t>
  </si>
  <si>
    <t>Post-Processing</t>
  </si>
  <si>
    <t>KevinMa</t>
  </si>
  <si>
    <t>Pre-Processing</t>
  </si>
  <si>
    <t>DIEGOR</t>
  </si>
  <si>
    <t>YRIZK</t>
  </si>
  <si>
    <t>JRucki</t>
  </si>
  <si>
    <t>MARIANOR</t>
  </si>
  <si>
    <t>CECILIAM</t>
  </si>
  <si>
    <t>ZSailer</t>
  </si>
  <si>
    <t>In-Context Review</t>
  </si>
  <si>
    <t>Pmaxera</t>
  </si>
  <si>
    <t>GONZALOS</t>
  </si>
  <si>
    <t>AGUSTINSCH</t>
  </si>
  <si>
    <t>JessicaS</t>
  </si>
  <si>
    <t>EMILIANOS</t>
  </si>
  <si>
    <t>Dorue</t>
  </si>
  <si>
    <t>ALEJANDRAO</t>
  </si>
  <si>
    <t>KPavlikova</t>
  </si>
  <si>
    <t>MihalyV</t>
  </si>
  <si>
    <t>VIVIANAV</t>
  </si>
  <si>
    <t>JiriPe</t>
  </si>
  <si>
    <t>CeciliaP</t>
  </si>
  <si>
    <t>Mvosmansky</t>
  </si>
  <si>
    <t>Mpoliak</t>
  </si>
  <si>
    <t>NancyWang</t>
  </si>
  <si>
    <t>AmandaW</t>
  </si>
  <si>
    <t>SvenX</t>
  </si>
  <si>
    <t>YoyoY</t>
  </si>
  <si>
    <t>KentZ</t>
  </si>
  <si>
    <t>JudyZh</t>
  </si>
  <si>
    <t>SusanZh</t>
  </si>
  <si>
    <t>JOSEA</t>
  </si>
  <si>
    <t>MONSERRATC</t>
  </si>
  <si>
    <t>OStrouhal</t>
  </si>
  <si>
    <t>VVasikova</t>
  </si>
  <si>
    <t>DominikaS</t>
  </si>
  <si>
    <t>LeeS</t>
  </si>
  <si>
    <t>JBaltus</t>
  </si>
  <si>
    <t>JUANB</t>
  </si>
  <si>
    <t>JasonC</t>
  </si>
  <si>
    <t>AndreiC</t>
  </si>
  <si>
    <t>FERNANDOD</t>
  </si>
  <si>
    <t>DSullivan</t>
  </si>
  <si>
    <t>TIMOTHYH</t>
  </si>
  <si>
    <t>SabrinaL</t>
  </si>
  <si>
    <t>BruceLiu</t>
  </si>
  <si>
    <t>TiamoL</t>
  </si>
  <si>
    <t>FMACAGNO</t>
  </si>
  <si>
    <t>ALEJANDROM</t>
  </si>
  <si>
    <t>GONZALOM</t>
  </si>
  <si>
    <t>barnabasn</t>
  </si>
  <si>
    <t>IRENERO</t>
  </si>
  <si>
    <t>RAIMUNDOS</t>
  </si>
  <si>
    <t>SaraS</t>
  </si>
  <si>
    <t>tibors</t>
  </si>
  <si>
    <t>MiguelG</t>
  </si>
  <si>
    <t>InesMoreno</t>
  </si>
  <si>
    <t>Sick Day</t>
  </si>
  <si>
    <t>Study Instructions</t>
  </si>
  <si>
    <t>Lucasf</t>
  </si>
  <si>
    <t>Meeting by Jason Card: CEO Brownbag session</t>
  </si>
  <si>
    <t>Suspending/freezing source for a better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</si>
</sst>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h:mm\ AM/PM;@"/>
    <numFmt numFmtId="165" formatCode="h:mm;@"/>
  </numFmts>
  <fonts count="9" x14ac:knownFonts="1">
    <font>
      <sz val="11"/>
      <color theme="1"/>
      <name val="Calibri"/>
      <family val="2"/>
      <scheme val="minor"/>
    </font>
    <font>
      <sz val="9"/>
      <color theme="1"/>
      <name val="Segoe UI"/>
      <family val="2"/>
    </font>
    <font>
      <b/>
      <sz val="9"/>
      <color rgb="FF000000"/>
      <name val="Segoe UI"/>
      <family val="2"/>
    </font>
    <font>
      <sz val="9"/>
      <name val="Segoe UI"/>
      <family val="2"/>
    </font>
    <font>
      <sz val="9"/>
      <color rgb="FF000000"/>
      <name val="Segoe UI"/>
      <family val="2"/>
    </font>
    <font>
      <sz val="11"/>
      <name val="Calibri"/>
      <family val="2"/>
      <scheme val="minor"/>
    </font>
    <font>
      <b/>
      <sz val="11"/>
      <color theme="0"/>
      <name val="Calibri"/>
      <family val="2"/>
      <scheme val="minor"/>
    </font>
    <font>
      <b/>
      <sz val="9"/>
      <color theme="0"/>
      <name val="Segoe UI"/>
      <family val="2"/>
    </font>
    <font>
      <b/>
      <sz val="11"/>
      <color theme="1"/>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3"/>
        <bgColor indexed="64"/>
      </patternFill>
    </fill>
    <fill>
      <patternFill patternType="solid">
        <fgColor theme="3" tint="0.79998168889431442"/>
        <bgColor indexed="64"/>
      </patternFill>
    </fill>
  </fills>
  <borders count="10">
    <border>
      <left/>
      <right/>
      <top/>
      <bottom/>
      <diagonal/>
    </border>
    <border>
      <left/>
      <right/>
      <top style="thin">
        <color indexed="64"/>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tint="0.499984740745262"/>
      </left>
      <right/>
      <top style="thin">
        <color theme="1" tint="0.499984740745262"/>
      </top>
      <bottom style="thin">
        <color theme="1" tint="0.499984740745262"/>
      </bottom>
      <diagonal/>
    </border>
    <border>
      <left style="thin">
        <color theme="0" tint="-0.34998626667073579"/>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thin">
        <color indexed="64"/>
      </bottom>
      <diagonal/>
    </border>
    <border>
      <left/>
      <right/>
      <top style="thin">
        <color theme="1" tint="0.499984740745262"/>
      </top>
      <bottom style="thin">
        <color theme="1" tint="0.499984740745262"/>
      </bottom>
      <diagonal/>
    </border>
  </borders>
  <cellStyleXfs count="1">
    <xf numFmtId="0" fontId="0" fillId="0" borderId="0"/>
  </cellStyleXfs>
  <cellXfs count="54">
    <xf numFmtId="0" fontId="0" fillId="0" borderId="0" xfId="0"/>
    <xf numFmtId="0" fontId="0" fillId="0" borderId="0" xfId="0" applyBorder="1" applyAlignment="1">
      <alignment horizontal="left" vertical="top"/>
    </xf>
    <xf numFmtId="0" fontId="0" fillId="0" borderId="0" xfId="0" applyBorder="1" applyAlignment="1">
      <alignment horizontal="left" vertical="top" wrapText="1"/>
    </xf>
    <xf numFmtId="0" fontId="0" fillId="0" borderId="1" xfId="0" applyBorder="1" applyAlignment="1">
      <alignment horizontal="left" vertical="top"/>
    </xf>
    <xf numFmtId="0" fontId="3" fillId="0" borderId="1" xfId="0" applyFont="1" applyFill="1" applyBorder="1" applyAlignment="1">
      <alignment vertical="top"/>
    </xf>
    <xf numFmtId="0" fontId="4" fillId="0" borderId="1" xfId="0" applyFont="1" applyFill="1" applyBorder="1" applyAlignment="1">
      <alignment horizontal="left" vertical="top" wrapText="1"/>
    </xf>
    <xf numFmtId="0" fontId="3" fillId="0" borderId="0" xfId="0" applyFont="1" applyFill="1" applyBorder="1" applyAlignment="1">
      <alignment vertical="top"/>
    </xf>
    <xf numFmtId="0" fontId="4" fillId="0" borderId="0" xfId="0" applyFont="1" applyFill="1" applyBorder="1" applyAlignment="1">
      <alignment horizontal="left" vertical="top" wrapText="1"/>
    </xf>
    <xf numFmtId="0" fontId="0" fillId="0" borderId="0" xfId="0" applyFill="1" applyBorder="1" applyAlignment="1">
      <alignment horizontal="left" vertical="top"/>
    </xf>
    <xf numFmtId="0" fontId="0" fillId="0" borderId="0" xfId="0" applyAlignment="1"/>
    <xf numFmtId="0" fontId="0" fillId="0" borderId="0" xfId="0" applyAlignment="1">
      <alignment horizontal="center"/>
    </xf>
    <xf numFmtId="0" fontId="0" fillId="0" borderId="0" xfId="0" applyAlignment="1">
      <alignment horizontal="left"/>
    </xf>
    <xf numFmtId="0" fontId="0" fillId="0" borderId="1" xfId="0" applyFill="1" applyBorder="1" applyAlignment="1">
      <alignment horizontal="left" vertical="top"/>
    </xf>
    <xf numFmtId="0" fontId="1" fillId="0" borderId="0" xfId="0" applyFont="1" applyFill="1" applyBorder="1" applyAlignment="1">
      <alignment horizontal="left" vertical="top"/>
    </xf>
    <xf numFmtId="0" fontId="0" fillId="0" borderId="0" xfId="0" applyFill="1" applyBorder="1" applyAlignment="1">
      <alignment horizontal="left" vertical="top" wrapText="1"/>
    </xf>
    <xf numFmtId="0" fontId="0" fillId="0" borderId="1" xfId="0" applyFill="1" applyBorder="1" applyAlignment="1">
      <alignment horizontal="left" vertical="top" wrapText="1"/>
    </xf>
    <xf numFmtId="0" fontId="0" fillId="0" borderId="0" xfId="0" applyFill="1"/>
    <xf numFmtId="0" fontId="7" fillId="3" borderId="0" xfId="0" applyFont="1" applyFill="1" applyBorder="1" applyAlignment="1">
      <alignment horizontal="left" vertical="top"/>
    </xf>
    <xf numFmtId="0" fontId="7" fillId="3" borderId="0" xfId="0" applyFont="1" applyFill="1" applyBorder="1" applyAlignment="1">
      <alignment horizontal="left" vertical="top" wrapText="1"/>
    </xf>
    <xf numFmtId="0" fontId="7" fillId="3" borderId="0" xfId="0" applyFont="1" applyFill="1" applyBorder="1" applyAlignment="1">
      <alignment horizontal="center" vertical="top"/>
    </xf>
    <xf numFmtId="0" fontId="0" fillId="0" borderId="0" xfId="0" applyFill="1" applyBorder="1" applyAlignment="1">
      <alignment horizontal="center" vertical="top"/>
    </xf>
    <xf numFmtId="0" fontId="0" fillId="0" borderId="1" xfId="0" applyFill="1" applyBorder="1" applyAlignment="1">
      <alignment horizontal="center" vertical="top"/>
    </xf>
    <xf numFmtId="0" fontId="0" fillId="0" borderId="1" xfId="0" applyFill="1" applyBorder="1" applyAlignment="1">
      <alignment horizontal="center" vertical="top" wrapText="1"/>
    </xf>
    <xf numFmtId="0" fontId="0" fillId="0" borderId="0" xfId="0" applyFill="1" applyBorder="1" applyAlignment="1">
      <alignment horizontal="center" vertical="top" wrapText="1"/>
    </xf>
    <xf numFmtId="0" fontId="0" fillId="0" borderId="0" xfId="0"/>
    <xf numFmtId="0" fontId="2" fillId="2" borderId="0" xfId="0" applyFont="1" applyFill="1" applyBorder="1" applyAlignment="1">
      <alignment horizontal="left" vertical="top"/>
    </xf>
    <xf numFmtId="0" fontId="0" fillId="0" borderId="0" xfId="0" applyAlignment="1">
      <alignment horizontal="center"/>
    </xf>
    <xf numFmtId="0" fontId="6" fillId="3" borderId="2" xfId="0" applyFont="1" applyFill="1" applyBorder="1"/>
    <xf numFmtId="0" fontId="6" fillId="3" borderId="3" xfId="0" applyFont="1" applyFill="1" applyBorder="1"/>
    <xf numFmtId="0" fontId="6" fillId="3" borderId="3" xfId="0" applyFont="1" applyFill="1" applyBorder="1" applyAlignment="1">
      <alignment horizontal="left"/>
    </xf>
    <xf numFmtId="0" fontId="6" fillId="3" borderId="3" xfId="0" applyFont="1" applyFill="1" applyBorder="1" applyAlignment="1">
      <alignment horizontal="center"/>
    </xf>
    <xf numFmtId="0" fontId="6" fillId="3" borderId="4" xfId="0" applyFont="1" applyFill="1" applyBorder="1"/>
    <xf numFmtId="0" fontId="0" fillId="0" borderId="5" xfId="0" applyFont="1" applyBorder="1" applyProtection="1">
      <protection locked="0"/>
    </xf>
    <xf numFmtId="0" fontId="5" fillId="0" borderId="6" xfId="0" applyFont="1" applyBorder="1" applyProtection="1">
      <protection locked="0"/>
    </xf>
    <xf numFmtId="14" fontId="0" fillId="0" borderId="6" xfId="0" applyNumberFormat="1" applyFont="1" applyBorder="1" applyAlignment="1" applyProtection="1">
      <alignment horizontal="left"/>
      <protection locked="0"/>
    </xf>
    <xf numFmtId="164" fontId="0" fillId="0" borderId="6" xfId="0" applyNumberFormat="1" applyFont="1" applyBorder="1" applyAlignment="1" applyProtection="1">
      <alignment horizontal="left"/>
      <protection locked="0"/>
    </xf>
    <xf numFmtId="0" fontId="0" fillId="0" borderId="6" xfId="0" applyFont="1" applyBorder="1" applyProtection="1">
      <protection locked="0"/>
    </xf>
    <xf numFmtId="0" fontId="0" fillId="0" borderId="7" xfId="0" applyFont="1" applyBorder="1" applyProtection="1">
      <protection locked="0"/>
    </xf>
    <xf numFmtId="0" fontId="0" fillId="0" borderId="0" xfId="0" pivotButton="1"/>
    <xf numFmtId="0" fontId="0" fillId="4" borderId="6" xfId="0" applyFont="1" applyFill="1" applyBorder="1" applyAlignment="1" applyProtection="1">
      <alignment horizontal="left"/>
      <protection locked="0"/>
    </xf>
    <xf numFmtId="0" fontId="0" fillId="0" borderId="8" xfId="0" applyBorder="1" applyAlignment="1">
      <alignment horizontal="left" vertical="top"/>
    </xf>
    <xf numFmtId="0" fontId="0" fillId="0" borderId="8" xfId="0" applyBorder="1"/>
    <xf numFmtId="0" fontId="0" fillId="0" borderId="8" xfId="0" applyBorder="1" applyAlignment="1">
      <alignment horizontal="left" vertical="top" wrapText="1"/>
    </xf>
    <xf numFmtId="0" fontId="6" fillId="3" borderId="3" xfId="0" applyFont="1" applyFill="1" applyBorder="1" applyAlignment="1">
      <alignment horizontal="center" vertical="top"/>
    </xf>
    <xf numFmtId="0" fontId="5" fillId="4" borderId="6" xfId="0" applyFont="1" applyFill="1" applyBorder="1" applyAlignment="1" applyProtection="1">
      <alignment horizontal="center" vertical="top"/>
      <protection locked="0"/>
    </xf>
    <xf numFmtId="0" fontId="0" fillId="0" borderId="0" xfId="0" applyAlignment="1">
      <alignment horizontal="center" vertical="top"/>
    </xf>
    <xf numFmtId="0" fontId="0" fillId="0" borderId="1" xfId="0" applyBorder="1" applyAlignment="1">
      <alignment horizontal="left" vertical="top" wrapText="1"/>
    </xf>
    <xf numFmtId="0" fontId="0" fillId="0" borderId="1" xfId="0" applyFill="1" applyBorder="1"/>
    <xf numFmtId="2" fontId="0" fillId="4" borderId="6" xfId="0" applyNumberFormat="1" applyFont="1" applyFill="1" applyBorder="1" applyAlignment="1">
      <alignment horizontal="center"/>
    </xf>
    <xf numFmtId="0" fontId="0" fillId="0" borderId="0" xfId="0" applyFill="1" applyAlignment="1">
      <alignment horizontal="center"/>
    </xf>
    <xf numFmtId="0" fontId="0" fillId="0" borderId="0" xfId="0" applyFill="1" applyAlignment="1">
      <alignment horizontal="left"/>
    </xf>
    <xf numFmtId="0" fontId="0" fillId="4" borderId="9" xfId="0" applyFont="1" applyFill="1" applyBorder="1" applyAlignment="1" applyProtection="1">
      <alignment horizontal="left"/>
      <protection locked="0"/>
    </xf>
    <xf numFmtId="0" fontId="0" fillId="0" borderId="0" xfId="0" applyNumberFormat="1"/>
    <xf numFmtId="165" fontId="0" fillId="0" borderId="6" xfId="0" applyNumberFormat="1" applyFont="1" applyBorder="1" applyAlignment="1" applyProtection="1">
      <alignment horizontal="left"/>
      <protection locked="0"/>
    </xf>
  </cellXfs>
  <cellStyles count="1">
    <cellStyle name="Normal" xfId="0" builtinId="0"/>
  </cellStyles>
  <dxfs count="1">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evin Macduff" refreshedDate="42931.410128703705" createdVersion="6" refreshedVersion="6" minRefreshableVersion="3" recordCount="699">
  <cacheSource type="worksheet">
    <worksheetSource ref="A1:N1048576" sheet="Time Tracking"/>
  </cacheSource>
  <cacheFields count="14">
    <cacheField name="My Email Alias" numFmtId="0">
      <sharedItems containsNonDate="0" containsBlank="1" count="2">
        <m/>
        <s v="kevinma" u="1"/>
      </sharedItems>
    </cacheField>
    <cacheField name="My Role" numFmtId="0">
      <sharedItems containsNonDate="0" containsString="0" containsBlank="1"/>
    </cacheField>
    <cacheField name="Project Owner" numFmtId="0">
      <sharedItems containsNonDate="0" containsString="0" containsBlank="1"/>
    </cacheField>
    <cacheField name="Project" numFmtId="0">
      <sharedItems containsNonDate="0" containsBlank="1" count="56">
        <m/>
        <s v="CnE_UE_BAPI_MonserratC (20170847)" u="1"/>
        <s v="CnE_SW_DevToolsVS_JBaltus (20170718)" u="1"/>
        <s v="CnE_UE_EnterpriseMobiltyIden_TiborS (20170861)" u="1"/>
        <s v="CnE_UE_CSTGeneral (20170925)" u="1"/>
        <s v="CnE_UE_DevToolsVSCS_TiborS (20170856)" u="1"/>
        <s v="CnE_SW_EnterpriseMobiltyECM_AndreiC (20170713)" u="1"/>
        <s v="CnE_UE_MORCST_General_JasonC (20170898)" u="1"/>
        <s v="CnE_UE_MORCST_DevToolsVS_JasonC (20170905)" u="1"/>
        <s v="CnE_SW_BAPI_FMacagno (20170716)" u="1"/>
        <s v="CnE_UE_MORCST_EnterpriseMobilityECM_JasonC (20170906)" u="1"/>
        <s v="CnE_SW_BAPI_SabrinaL (20170719)" u="1"/>
        <s v="CnE_UE_MORCST_BAPI_JasonC (20170902)" u="1"/>
        <s v="CnE_UE_DevToolsVSCS_RaimundoS (20170849)" u="1"/>
        <s v="CnE_UE_MORCST_CloudInfraAzure_JasonC (20170900)" u="1"/>
        <s v="CnE_UE_CloudInfraCEChina_FernandoD (20170845)" u="1"/>
        <s v="CnE_UE_DataAnalytics_RaimundoS (20170851)" u="1"/>
        <s v="CnE_SW_BAPI_BarnabasN (20170715)" u="1"/>
        <s v="CnE_UE_MORCST_CloudInfraCEChina_JasonC (20170903)" u="1"/>
        <s v="CnE_UE_BAPI_RaimundoS (20170850)" u="1"/>
        <s v="CnE_SW_CouldInfraOPS_VVasikova (20170725)" u="1"/>
        <s v="CnE_SW_DataAnalytics_SabrinaL (20170720)" u="1"/>
        <s v="CnE_UE_CloudInfraAzure_FernandoD (20170844)" u="1"/>
        <s v="CnE_UE_DevToolsVSCS_JoseA (20170864)" u="1"/>
        <s v="CnE_SW_DevToolsVS_VVasikova (20170727)" u="1"/>
        <s v="CnE_UE_DevToolsVS_JoseA (20170865)" u="1"/>
        <s v="CnE_UE_CloudInfraECG_RaimundoS (20170848)" u="1"/>
        <s v="CnE_UE_MORCST_DevToolsVSCS_JasonC (20170901)" u="1"/>
        <s v="CnE_SW_DevToolsVSCS_JBaltus (20170717)" u="1"/>
        <s v="CnE_UE_MORCST_CloudInfraECG_JasonC (20170899)" u="1"/>
        <s v="CnE_SW_CloudInfraAzure_VVasikova (20170724)" u="1"/>
        <s v="CnE_UE_DevToolsVS_RaimundoS (20170852)" u="1"/>
        <s v="CnE_MLS_CatalogueServices (20170920)" u="1"/>
        <s v="CnE_UE_CloudInfraECG_JoseA (20170863)" u="1"/>
        <s v="CnE_UE_CloudInfraECG_TiborS (20170855)" u="1"/>
        <s v="CnE_UE_DataAnalytics_TiborS (20170858)" u="1"/>
        <s v="CnE_SW_EnterpriseMobiltySec_TimothyH (20170722)" u="1"/>
        <s v="CnE_SW_CloudInfraECG_AndreiC (20170712)" u="1"/>
        <s v="CnE_UE_CloudInfraAzure_TiborS (20170854)" u="1"/>
        <s v="CnE_SW_CSTGeneral (20170927)" u="1"/>
        <s v="CnE_SW_CloudInfraECG_VVasikova (20170723)" u="1"/>
        <s v="CnE_MGMT_ProgramService (20170923)" u="1"/>
        <s v="CnE_UE_BAPI_TiborS (20170857)" u="1"/>
        <s v="CnE_UE_MORCST_EnterpriseMobilityIden_JasonC (20170907)" u="1"/>
        <s v="CnE_BPG_ProgramService (20170922)" u="1"/>
        <s v="CnE_UE_CloudInfraECG_MonserratC (20170846)" u="1"/>
        <s v="CnE_MLS_ProgramService (20170921)" u="1"/>
        <s v="CnE_UE_DevToolsVS_TiborS (20170859)" u="1"/>
        <s v="CnE_UE_EnterpriseMobiltyECM_TiborS (20170860)" u="1"/>
        <s v="CnE_SW_CloudInfraECG_BarnabasN (20170714)" u="1"/>
        <s v="CnE_UE_MORCST_DataAnalytics_JasonC (20170904)" u="1"/>
        <s v="CnE_UE_MORCST_EnterpriseMobilitySec_JasonC (20170908)" u="1"/>
        <s v="CnE_Eng_ProgramService (20170918)" u="1"/>
        <s v="CnE_SW_EnterpriseMobiltyIden_TimothyH (20170721)" u="1"/>
        <s v="CnE_SW_CloudInfraCEChina_VVasikova (20170726)" u="1"/>
        <s v="CnE_SW_Azure_Data_FMacagno (20171304)" u="1"/>
      </sharedItems>
    </cacheField>
    <cacheField name="Location" numFmtId="0">
      <sharedItems containsBlank="1"/>
    </cacheField>
    <cacheField name="Date" numFmtId="0">
      <sharedItems containsNonDate="0" containsString="0" containsBlank="1"/>
    </cacheField>
    <cacheField name="Start Time" numFmtId="0">
      <sharedItems containsNonDate="0" containsString="0" containsBlank="1"/>
    </cacheField>
    <cacheField name="End Time" numFmtId="0">
      <sharedItems containsNonDate="0" containsString="0" containsBlank="1"/>
    </cacheField>
    <cacheField name="Hours" numFmtId="0">
      <sharedItems containsString="0" containsBlank="1" containsNumber="1" containsInteger="1" minValue="0" maxValue="0"/>
    </cacheField>
    <cacheField name="Activity Group" numFmtId="0">
      <sharedItems containsNonDate="0" containsString="0" containsBlank="1"/>
    </cacheField>
    <cacheField name="Task Area" numFmtId="0">
      <sharedItems containsNonDate="0" containsString="0" containsBlank="1"/>
    </cacheField>
    <cacheField name="IO" numFmtId="0">
      <sharedItems containsBlank="1"/>
    </cacheField>
    <cacheField name="Catalog Services Project" numFmtId="0">
      <sharedItems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9">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axis="axisPage" showAll="0">
      <items count="3">
        <item m="1" x="1"/>
        <item x="0"/>
        <item t="default"/>
      </items>
    </pivotField>
    <pivotField showAll="0"/>
    <pivotField showAll="0"/>
    <pivotField axis="axisRow" showAll="0">
      <items count="57">
        <item m="1" x="44"/>
        <item m="1" x="52"/>
        <item m="1" x="41"/>
        <item m="1" x="32"/>
        <item m="1" x="46"/>
        <item m="1" x="17"/>
        <item m="1" x="9"/>
        <item m="1" x="11"/>
        <item m="1" x="30"/>
        <item m="1" x="54"/>
        <item m="1" x="37"/>
        <item m="1" x="49"/>
        <item m="1" x="40"/>
        <item m="1" x="20"/>
        <item m="1" x="39"/>
        <item m="1" x="21"/>
        <item m="1" x="2"/>
        <item m="1" x="24"/>
        <item m="1" x="28"/>
        <item m="1" x="6"/>
        <item m="1" x="53"/>
        <item m="1" x="36"/>
        <item m="1" x="1"/>
        <item m="1" x="19"/>
        <item m="1" x="42"/>
        <item m="1" x="22"/>
        <item m="1" x="38"/>
        <item m="1" x="15"/>
        <item m="1" x="33"/>
        <item m="1" x="45"/>
        <item m="1" x="26"/>
        <item m="1" x="34"/>
        <item m="1" x="4"/>
        <item m="1" x="16"/>
        <item m="1" x="35"/>
        <item m="1" x="25"/>
        <item m="1" x="31"/>
        <item m="1" x="47"/>
        <item m="1" x="23"/>
        <item m="1" x="13"/>
        <item m="1" x="5"/>
        <item m="1" x="48"/>
        <item m="1" x="3"/>
        <item m="1" x="12"/>
        <item m="1" x="14"/>
        <item m="1" x="18"/>
        <item m="1" x="29"/>
        <item m="1" x="50"/>
        <item m="1" x="8"/>
        <item m="1" x="27"/>
        <item m="1" x="10"/>
        <item m="1" x="43"/>
        <item m="1" x="51"/>
        <item m="1" x="7"/>
        <item x="0"/>
        <item m="1" x="55"/>
        <item t="default"/>
      </items>
    </pivotField>
    <pivotField showAll="0"/>
    <pivotField showAll="0" defaultSubtotal="0"/>
    <pivotField showAll="0"/>
    <pivotField showAll="0"/>
    <pivotField dataField="1" showAll="0"/>
    <pivotField showAll="0"/>
    <pivotField showAll="0"/>
    <pivotField showAll="0"/>
    <pivotField showAll="0"/>
    <pivotField showAll="0"/>
  </pivotFields>
  <rowFields count="1">
    <field x="3"/>
  </rowFields>
  <rowItems count="2">
    <i>
      <x v="54"/>
    </i>
    <i t="grand">
      <x/>
    </i>
  </rowItems>
  <colItems count="1">
    <i/>
  </colItems>
  <pageFields count="1">
    <pageField fld="0" hier="-1"/>
  </pageFields>
  <dataFields count="1">
    <dataField name="Sum of Hours" fld="8"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699"/>
  <sheetViews>
    <sheetView showGridLines="0" tabSelected="1" workbookViewId="0">
      <pane ySplit="1" topLeftCell="A2" activePane="bottomLeft" state="frozen"/>
      <selection pane="bottomLeft" activeCell="J4" sqref="J4"/>
    </sheetView>
  </sheetViews>
  <sheetFormatPr baseColWidth="10" defaultColWidth="8.28515625" defaultRowHeight="15" x14ac:dyDescent="0.25"/>
  <cols>
    <col min="1" max="1" width="17.85546875" customWidth="1"/>
    <col min="2" max="2" width="28" bestFit="1" customWidth="1"/>
    <col min="3" max="3" width="19.5703125" style="11" bestFit="1" customWidth="1"/>
    <col min="4" max="4" width="56" style="11" bestFit="1" customWidth="1"/>
    <col min="5" max="5" width="12.7109375" style="45" bestFit="1" customWidth="1"/>
    <col min="6" max="6" width="16.5703125" style="11" customWidth="1"/>
    <col min="7" max="7" width="11.7109375" style="10" bestFit="1" customWidth="1"/>
    <col min="8" max="8" width="11" bestFit="1" customWidth="1"/>
    <col min="9" max="9" width="17.140625" bestFit="1" customWidth="1"/>
    <col min="10" max="10" width="36.42578125" customWidth="1"/>
    <col min="11" max="11" width="31.7109375" bestFit="1" customWidth="1"/>
    <col min="12" max="12" width="34" style="11" bestFit="1" customWidth="1"/>
    <col min="13" max="13" width="28.140625" style="11" bestFit="1" customWidth="1"/>
    <col min="14" max="14" width="36.42578125" customWidth="1"/>
  </cols>
  <sheetData>
    <row r="1" spans="1:14" x14ac:dyDescent="0.25">
      <c r="A1" s="27" t="s">
        <v>0</v>
      </c>
      <c r="B1" s="28" t="s">
        <v>1</v>
      </c>
      <c r="C1" s="28" t="s">
        <v>2</v>
      </c>
      <c r="D1" s="28" t="s">
        <v>3</v>
      </c>
      <c r="E1" s="43" t="s">
        <v>4</v>
      </c>
      <c r="F1" s="29" t="s">
        <v>5</v>
      </c>
      <c r="G1" s="29" t="s">
        <v>6</v>
      </c>
      <c r="H1" s="29" t="s">
        <v>7</v>
      </c>
      <c r="I1" s="30" t="s">
        <v>8</v>
      </c>
      <c r="J1" s="28" t="s">
        <v>9</v>
      </c>
      <c r="K1" s="28" t="s">
        <v>10</v>
      </c>
      <c r="L1" s="29" t="s">
        <v>11</v>
      </c>
      <c r="M1" s="29" t="s">
        <v>12</v>
      </c>
      <c r="N1" s="31" t="s">
        <v>13</v>
      </c>
    </row>
    <row r="2" spans="1:14" s="24" customFormat="1" x14ac:dyDescent="0.25">
      <c r="A2" s="32" t="s">
        <v>443</v>
      </c>
      <c r="B2" s="33" t="s">
        <v>221</v>
      </c>
      <c r="C2" s="33" t="s">
        <v>235</v>
      </c>
      <c r="D2" s="33" t="s">
        <v>294</v>
      </c>
      <c r="E2" s="44" t="str">
        <f>VLOOKUP(A2,Lists!$U$1:$V$121,2,FALSE)</f>
        <v>AR</v>
      </c>
      <c r="F2" s="34">
        <v>42919</v>
      </c>
      <c r="G2" s="53">
        <v>0.41666666666666669</v>
      </c>
      <c r="H2" s="35">
        <v>0.73958333333333337</v>
      </c>
      <c r="I2" s="48">
        <f t="shared" ref="I2:I65" si="0">(IFERROR(TEXT(H2-G2,"h:mm"),"0:00"))*24</f>
        <v>7.75</v>
      </c>
      <c r="J2" s="36" t="s">
        <v>25</v>
      </c>
      <c r="K2" s="36" t="s">
        <v>63</v>
      </c>
      <c r="L2" s="39" t="str">
        <f>VLOOKUP('Time Tracking'!$D2,Lists!O:P,2,FALSE)</f>
        <v>Content_Azure (1647764)</v>
      </c>
      <c r="M2" s="51" t="str">
        <f>VLOOKUP(C2,Lists!$R$1:$S$15,2,FALSE)</f>
        <v>CnE_UE_FernandoD (20170837)</v>
      </c>
      <c r="N2" s="37"/>
    </row>
    <row r="3" spans="1:14" s="24" customFormat="1" x14ac:dyDescent="0.25">
      <c r="A3" s="32" t="s">
        <v>443</v>
      </c>
      <c r="B3" s="33" t="s">
        <v>221</v>
      </c>
      <c r="C3" s="33" t="s">
        <v>203</v>
      </c>
      <c r="D3" s="33" t="s">
        <v>236</v>
      </c>
      <c r="E3" s="44" t="str">
        <f>VLOOKUP(A3,Lists!$U$1:$V$121,2,FALSE)</f>
        <v>AR</v>
      </c>
      <c r="F3" s="34">
        <v>42919</v>
      </c>
      <c r="G3" s="35">
        <v>0.73958333333333337</v>
      </c>
      <c r="H3" s="35">
        <v>0.75</v>
      </c>
      <c r="I3" s="48">
        <f t="shared" si="0"/>
        <v>0.25</v>
      </c>
      <c r="J3" s="36" t="s">
        <v>201</v>
      </c>
      <c r="K3" s="36" t="s">
        <v>256</v>
      </c>
      <c r="L3" s="39" t="str">
        <f>VLOOKUP('Time Tracking'!$D3,Lists!O:P,2,FALSE)</f>
        <v>Not Billable</v>
      </c>
      <c r="M3" s="51" t="str">
        <f>VLOOKUP(C3,Lists!$R$1:$S$15,2,FALSE)</f>
        <v>N/A</v>
      </c>
      <c r="N3" s="37"/>
    </row>
    <row r="4" spans="1:14" s="24" customFormat="1" x14ac:dyDescent="0.25">
      <c r="A4" s="32" t="s">
        <v>443</v>
      </c>
      <c r="B4" s="33" t="s">
        <v>221</v>
      </c>
      <c r="C4" s="33" t="s">
        <v>235</v>
      </c>
      <c r="D4" s="33" t="s">
        <v>294</v>
      </c>
      <c r="E4" s="44" t="str">
        <f>VLOOKUP(A4,Lists!$U$1:$V$121,2,FALSE)</f>
        <v>AR</v>
      </c>
      <c r="F4" s="34">
        <v>42920</v>
      </c>
      <c r="G4" s="53">
        <v>0.41666666666666669</v>
      </c>
      <c r="H4" s="35">
        <v>0.4375</v>
      </c>
      <c r="I4" s="48">
        <f t="shared" si="0"/>
        <v>0.5</v>
      </c>
      <c r="J4" s="36" t="s">
        <v>39</v>
      </c>
      <c r="K4" s="36" t="s">
        <v>40</v>
      </c>
      <c r="L4" s="39" t="str">
        <f>VLOOKUP('Time Tracking'!$D4,Lists!O:P,2,FALSE)</f>
        <v>Content_Azure (1647764)</v>
      </c>
      <c r="M4" s="51" t="str">
        <f>VLOOKUP(C4,Lists!$R$1:$S$15,2,FALSE)</f>
        <v>CnE_UE_FernandoD (20170837)</v>
      </c>
      <c r="N4" s="37"/>
    </row>
    <row r="5" spans="1:14" s="24" customFormat="1" x14ac:dyDescent="0.25">
      <c r="A5" s="32" t="s">
        <v>443</v>
      </c>
      <c r="B5" s="33" t="s">
        <v>221</v>
      </c>
      <c r="C5" s="33" t="s">
        <v>235</v>
      </c>
      <c r="D5" s="33" t="s">
        <v>294</v>
      </c>
      <c r="E5" s="44" t="str">
        <f>VLOOKUP(A5,Lists!$U$1:$V$121,2,FALSE)</f>
        <v>AR</v>
      </c>
      <c r="F5" s="34">
        <v>42920</v>
      </c>
      <c r="G5" s="53">
        <v>0.4375</v>
      </c>
      <c r="H5" s="35">
        <v>0.73958333333333337</v>
      </c>
      <c r="I5" s="48">
        <f t="shared" si="0"/>
        <v>7.25</v>
      </c>
      <c r="J5" s="36" t="s">
        <v>25</v>
      </c>
      <c r="K5" s="36" t="s">
        <v>63</v>
      </c>
      <c r="L5" s="39" t="str">
        <f>VLOOKUP('Time Tracking'!$D5,Lists!O:P,2,FALSE)</f>
        <v>Content_Azure (1647764)</v>
      </c>
      <c r="M5" s="51" t="str">
        <f>VLOOKUP(C5,Lists!$R$1:$S$15,2,FALSE)</f>
        <v>CnE_UE_FernandoD (20170837)</v>
      </c>
      <c r="N5" s="37"/>
    </row>
    <row r="6" spans="1:14" s="24" customFormat="1" x14ac:dyDescent="0.25">
      <c r="A6" s="32" t="s">
        <v>443</v>
      </c>
      <c r="B6" s="33" t="s">
        <v>221</v>
      </c>
      <c r="C6" s="33" t="s">
        <v>203</v>
      </c>
      <c r="D6" s="33" t="s">
        <v>236</v>
      </c>
      <c r="E6" s="44" t="str">
        <f>VLOOKUP(A6,Lists!$U$1:$V$121,2,FALSE)</f>
        <v>AR</v>
      </c>
      <c r="F6" s="34">
        <v>42920</v>
      </c>
      <c r="G6" s="35">
        <v>0.73958333333333337</v>
      </c>
      <c r="H6" s="35">
        <v>0.75</v>
      </c>
      <c r="I6" s="48">
        <f t="shared" si="0"/>
        <v>0.25</v>
      </c>
      <c r="J6" s="36" t="s">
        <v>201</v>
      </c>
      <c r="K6" s="36" t="s">
        <v>256</v>
      </c>
      <c r="L6" s="39" t="str">
        <f>VLOOKUP('Time Tracking'!$D6,Lists!O:P,2,FALSE)</f>
        <v>Not Billable</v>
      </c>
      <c r="M6" s="51" t="str">
        <f>VLOOKUP(C6,Lists!$R$1:$S$15,2,FALSE)</f>
        <v>N/A</v>
      </c>
      <c r="N6" s="37"/>
    </row>
    <row r="7" spans="1:14" s="24" customFormat="1" x14ac:dyDescent="0.25">
      <c r="A7" s="32" t="s">
        <v>443</v>
      </c>
      <c r="B7" s="33" t="s">
        <v>221</v>
      </c>
      <c r="C7" s="33" t="s">
        <v>235</v>
      </c>
      <c r="D7" s="33" t="s">
        <v>294</v>
      </c>
      <c r="E7" s="44" t="str">
        <f>VLOOKUP(A7,Lists!$U$1:$V$121,2,FALSE)</f>
        <v>AR</v>
      </c>
      <c r="F7" s="34">
        <v>42921</v>
      </c>
      <c r="G7" s="53">
        <v>0.41666666666666669</v>
      </c>
      <c r="H7" s="35">
        <v>0.73958333333333337</v>
      </c>
      <c r="I7" s="48">
        <f t="shared" si="0"/>
        <v>7.75</v>
      </c>
      <c r="J7" s="36" t="s">
        <v>25</v>
      </c>
      <c r="K7" s="36" t="s">
        <v>63</v>
      </c>
      <c r="L7" s="39" t="str">
        <f>VLOOKUP('Time Tracking'!$D7,Lists!O:P,2,FALSE)</f>
        <v>Content_Azure (1647764)</v>
      </c>
      <c r="M7" s="51" t="str">
        <f>VLOOKUP(C7,Lists!$R$1:$S$15,2,FALSE)</f>
        <v>CnE_UE_FernandoD (20170837)</v>
      </c>
      <c r="N7" s="37"/>
    </row>
    <row r="8" spans="1:14" s="24" customFormat="1" x14ac:dyDescent="0.25">
      <c r="A8" s="32" t="s">
        <v>443</v>
      </c>
      <c r="B8" s="33" t="s">
        <v>221</v>
      </c>
      <c r="C8" s="33" t="s">
        <v>203</v>
      </c>
      <c r="D8" s="33" t="s">
        <v>236</v>
      </c>
      <c r="E8" s="44" t="str">
        <f>VLOOKUP(A8,Lists!$U$1:$V$121,2,FALSE)</f>
        <v>AR</v>
      </c>
      <c r="F8" s="34">
        <v>42921</v>
      </c>
      <c r="G8" s="35">
        <v>0.73958333333333337</v>
      </c>
      <c r="H8" s="35">
        <v>0.75</v>
      </c>
      <c r="I8" s="48">
        <f t="shared" si="0"/>
        <v>0.25</v>
      </c>
      <c r="J8" s="36" t="s">
        <v>201</v>
      </c>
      <c r="K8" s="36" t="s">
        <v>256</v>
      </c>
      <c r="L8" s="39" t="str">
        <f>VLOOKUP('Time Tracking'!$D8,Lists!O:P,2,FALSE)</f>
        <v>Not Billable</v>
      </c>
      <c r="M8" s="51" t="str">
        <f>VLOOKUP(C8,Lists!$R$1:$S$15,2,FALSE)</f>
        <v>N/A</v>
      </c>
      <c r="N8" s="37"/>
    </row>
    <row r="9" spans="1:14" s="24" customFormat="1" x14ac:dyDescent="0.25">
      <c r="A9" s="32" t="s">
        <v>443</v>
      </c>
      <c r="B9" s="33" t="s">
        <v>221</v>
      </c>
      <c r="C9" s="33" t="s">
        <v>235</v>
      </c>
      <c r="D9" s="33" t="s">
        <v>294</v>
      </c>
      <c r="E9" s="44" t="str">
        <f>VLOOKUP(A9,Lists!$U$1:$V$121,2,FALSE)</f>
        <v>AR</v>
      </c>
      <c r="F9" s="34">
        <v>42922</v>
      </c>
      <c r="G9" s="53">
        <v>0.41666666666666669</v>
      </c>
      <c r="H9" s="35">
        <v>0.73958333333333337</v>
      </c>
      <c r="I9" s="48">
        <f t="shared" si="0"/>
        <v>7.75</v>
      </c>
      <c r="J9" s="36" t="s">
        <v>25</v>
      </c>
      <c r="K9" s="36" t="s">
        <v>63</v>
      </c>
      <c r="L9" s="39" t="str">
        <f>VLOOKUP('Time Tracking'!$D9,Lists!O:P,2,FALSE)</f>
        <v>Content_Azure (1647764)</v>
      </c>
      <c r="M9" s="51" t="str">
        <f>VLOOKUP(C9,Lists!$R$1:$S$15,2,FALSE)</f>
        <v>CnE_UE_FernandoD (20170837)</v>
      </c>
      <c r="N9" s="37"/>
    </row>
    <row r="10" spans="1:14" s="24" customFormat="1" x14ac:dyDescent="0.25">
      <c r="A10" s="32" t="s">
        <v>443</v>
      </c>
      <c r="B10" s="33" t="s">
        <v>221</v>
      </c>
      <c r="C10" s="33" t="s">
        <v>203</v>
      </c>
      <c r="D10" s="33" t="s">
        <v>236</v>
      </c>
      <c r="E10" s="44" t="str">
        <f>VLOOKUP(A10,Lists!$U$1:$V$121,2,FALSE)</f>
        <v>AR</v>
      </c>
      <c r="F10" s="34">
        <v>42922</v>
      </c>
      <c r="G10" s="35">
        <v>0.73958333333333337</v>
      </c>
      <c r="H10" s="35">
        <v>0.75</v>
      </c>
      <c r="I10" s="48">
        <f t="shared" si="0"/>
        <v>0.25</v>
      </c>
      <c r="J10" s="36" t="s">
        <v>201</v>
      </c>
      <c r="K10" s="36" t="s">
        <v>256</v>
      </c>
      <c r="L10" s="39" t="str">
        <f>VLOOKUP('Time Tracking'!$D10,Lists!O:P,2,FALSE)</f>
        <v>Not Billable</v>
      </c>
      <c r="M10" s="51" t="str">
        <f>VLOOKUP(C10,Lists!$R$1:$S$15,2,FALSE)</f>
        <v>N/A</v>
      </c>
      <c r="N10" s="37"/>
    </row>
    <row r="11" spans="1:14" s="24" customFormat="1" x14ac:dyDescent="0.25">
      <c r="A11" s="32" t="s">
        <v>443</v>
      </c>
      <c r="B11" s="33" t="s">
        <v>221</v>
      </c>
      <c r="C11" s="33" t="s">
        <v>235</v>
      </c>
      <c r="D11" s="33" t="s">
        <v>294</v>
      </c>
      <c r="E11" s="44" t="str">
        <f>VLOOKUP(A11,Lists!$U$1:$V$121,2,FALSE)</f>
        <v>AR</v>
      </c>
      <c r="F11" s="34">
        <v>42923</v>
      </c>
      <c r="G11" s="53">
        <v>0.41666666666666669</v>
      </c>
      <c r="H11" s="35">
        <v>0.73958333333333337</v>
      </c>
      <c r="I11" s="48">
        <f t="shared" si="0"/>
        <v>7.75</v>
      </c>
      <c r="J11" s="36" t="s">
        <v>25</v>
      </c>
      <c r="K11" s="36" t="s">
        <v>63</v>
      </c>
      <c r="L11" s="39" t="str">
        <f>VLOOKUP('Time Tracking'!$D11,Lists!O:P,2,FALSE)</f>
        <v>Content_Azure (1647764)</v>
      </c>
      <c r="M11" s="51" t="str">
        <f>VLOOKUP(C11,Lists!$R$1:$S$15,2,FALSE)</f>
        <v>CnE_UE_FernandoD (20170837)</v>
      </c>
      <c r="N11" s="37"/>
    </row>
    <row r="12" spans="1:14" s="24" customFormat="1" x14ac:dyDescent="0.25">
      <c r="A12" s="32" t="s">
        <v>443</v>
      </c>
      <c r="B12" s="33" t="s">
        <v>221</v>
      </c>
      <c r="C12" s="33" t="s">
        <v>203</v>
      </c>
      <c r="D12" s="33" t="s">
        <v>236</v>
      </c>
      <c r="E12" s="44" t="str">
        <f>VLOOKUP(A12,Lists!$U$1:$V$121,2,FALSE)</f>
        <v>AR</v>
      </c>
      <c r="F12" s="34">
        <v>42923</v>
      </c>
      <c r="G12" s="35">
        <v>0.73958333333333337</v>
      </c>
      <c r="H12" s="35">
        <v>0.75</v>
      </c>
      <c r="I12" s="48">
        <f t="shared" si="0"/>
        <v>0.25</v>
      </c>
      <c r="J12" s="36" t="s">
        <v>201</v>
      </c>
      <c r="K12" s="36" t="s">
        <v>256</v>
      </c>
      <c r="L12" s="39" t="str">
        <f>VLOOKUP('Time Tracking'!$D12,Lists!O:P,2,FALSE)</f>
        <v>Not Billable</v>
      </c>
      <c r="M12" s="51" t="str">
        <f>VLOOKUP(C12,Lists!$R$1:$S$15,2,FALSE)</f>
        <v>N/A</v>
      </c>
      <c r="N12" s="37"/>
    </row>
    <row r="13" spans="1:14" s="24" customFormat="1" x14ac:dyDescent="0.25">
      <c r="A13" s="32" t="s">
        <v>443</v>
      </c>
      <c r="B13" s="33" t="s">
        <v>221</v>
      </c>
      <c r="C13" s="33" t="s">
        <v>235</v>
      </c>
      <c r="D13" s="33" t="s">
        <v>294</v>
      </c>
      <c r="E13" s="44" t="str">
        <f>VLOOKUP(A13,Lists!$U$1:$V$121,2,FALSE)</f>
        <v>AR</v>
      </c>
      <c r="F13" s="34">
        <v>42926</v>
      </c>
      <c r="G13" s="53">
        <v>0.41666666666666669</v>
      </c>
      <c r="H13" s="35">
        <v>0.73958333333333337</v>
      </c>
      <c r="I13" s="48">
        <f t="shared" si="0"/>
        <v>7.75</v>
      </c>
      <c r="J13" s="36" t="s">
        <v>25</v>
      </c>
      <c r="K13" s="36" t="s">
        <v>63</v>
      </c>
      <c r="L13" s="39" t="str">
        <f>VLOOKUP('Time Tracking'!$D13,Lists!O:P,2,FALSE)</f>
        <v>Content_Azure (1647764)</v>
      </c>
      <c r="M13" s="51" t="str">
        <f>VLOOKUP(C13,Lists!$R$1:$S$15,2,FALSE)</f>
        <v>CnE_UE_FernandoD (20170837)</v>
      </c>
      <c r="N13" s="37"/>
    </row>
    <row r="14" spans="1:14" s="24" customFormat="1" x14ac:dyDescent="0.25">
      <c r="A14" s="32" t="s">
        <v>443</v>
      </c>
      <c r="B14" s="33" t="s">
        <v>221</v>
      </c>
      <c r="C14" s="33" t="s">
        <v>203</v>
      </c>
      <c r="D14" s="33" t="s">
        <v>236</v>
      </c>
      <c r="E14" s="44" t="str">
        <f>VLOOKUP(A14,Lists!$U$1:$V$121,2,FALSE)</f>
        <v>AR</v>
      </c>
      <c r="F14" s="34">
        <v>42926</v>
      </c>
      <c r="G14" s="35">
        <v>0.73958333333333337</v>
      </c>
      <c r="H14" s="35">
        <v>0.75</v>
      </c>
      <c r="I14" s="48">
        <f t="shared" si="0"/>
        <v>0.25</v>
      </c>
      <c r="J14" s="36" t="s">
        <v>201</v>
      </c>
      <c r="K14" s="36" t="s">
        <v>256</v>
      </c>
      <c r="L14" s="39" t="str">
        <f>VLOOKUP('Time Tracking'!$D14,Lists!O:P,2,FALSE)</f>
        <v>Not Billable</v>
      </c>
      <c r="M14" s="51" t="str">
        <f>VLOOKUP(C14,Lists!$R$1:$S$15,2,FALSE)</f>
        <v>N/A</v>
      </c>
      <c r="N14" s="37"/>
    </row>
    <row r="15" spans="1:14" s="24" customFormat="1" x14ac:dyDescent="0.25">
      <c r="A15" s="32" t="s">
        <v>443</v>
      </c>
      <c r="B15" s="33" t="s">
        <v>221</v>
      </c>
      <c r="C15" s="33" t="s">
        <v>235</v>
      </c>
      <c r="D15" s="33" t="s">
        <v>294</v>
      </c>
      <c r="E15" s="44" t="str">
        <f>VLOOKUP(A15,Lists!$U$1:$V$121,2,FALSE)</f>
        <v>AR</v>
      </c>
      <c r="F15" s="34">
        <v>42927</v>
      </c>
      <c r="G15" s="53">
        <v>0.41666666666666669</v>
      </c>
      <c r="H15" s="35">
        <v>0.73958333333333337</v>
      </c>
      <c r="I15" s="48">
        <f t="shared" si="0"/>
        <v>7.75</v>
      </c>
      <c r="J15" s="36" t="s">
        <v>25</v>
      </c>
      <c r="K15" s="36" t="s">
        <v>63</v>
      </c>
      <c r="L15" s="39" t="str">
        <f>VLOOKUP('Time Tracking'!$D15,Lists!O:P,2,FALSE)</f>
        <v>Content_Azure (1647764)</v>
      </c>
      <c r="M15" s="51" t="str">
        <f>VLOOKUP(C15,Lists!$R$1:$S$15,2,FALSE)</f>
        <v>CnE_UE_FernandoD (20170837)</v>
      </c>
      <c r="N15" s="37"/>
    </row>
    <row r="16" spans="1:14" s="24" customFormat="1" x14ac:dyDescent="0.25">
      <c r="A16" s="32" t="s">
        <v>443</v>
      </c>
      <c r="B16" s="33" t="s">
        <v>221</v>
      </c>
      <c r="C16" s="33" t="s">
        <v>203</v>
      </c>
      <c r="D16" s="33" t="s">
        <v>236</v>
      </c>
      <c r="E16" s="44" t="str">
        <f>VLOOKUP(A16,Lists!$U$1:$V$121,2,FALSE)</f>
        <v>AR</v>
      </c>
      <c r="F16" s="34">
        <v>42927</v>
      </c>
      <c r="G16" s="35">
        <v>0.73958333333333337</v>
      </c>
      <c r="H16" s="35">
        <v>0.75</v>
      </c>
      <c r="I16" s="48">
        <f t="shared" si="0"/>
        <v>0.25</v>
      </c>
      <c r="J16" s="36" t="s">
        <v>201</v>
      </c>
      <c r="K16" s="36" t="s">
        <v>256</v>
      </c>
      <c r="L16" s="39" t="str">
        <f>VLOOKUP('Time Tracking'!$D16,Lists!O:P,2,FALSE)</f>
        <v>Not Billable</v>
      </c>
      <c r="M16" s="51" t="str">
        <f>VLOOKUP(C16,Lists!$R$1:$S$15,2,FALSE)</f>
        <v>N/A</v>
      </c>
      <c r="N16" s="37"/>
    </row>
    <row r="17" spans="1:14" s="24" customFormat="1" x14ac:dyDescent="0.25">
      <c r="A17" s="32" t="s">
        <v>443</v>
      </c>
      <c r="B17" s="33" t="s">
        <v>221</v>
      </c>
      <c r="C17" s="33" t="s">
        <v>235</v>
      </c>
      <c r="D17" s="33" t="s">
        <v>294</v>
      </c>
      <c r="E17" s="44" t="str">
        <f>VLOOKUP(A17,Lists!$U$1:$V$121,2,FALSE)</f>
        <v>AR</v>
      </c>
      <c r="F17" s="34">
        <v>42928</v>
      </c>
      <c r="G17" s="53">
        <v>0.41666666666666669</v>
      </c>
      <c r="H17" s="35">
        <v>0.73958333333333337</v>
      </c>
      <c r="I17" s="48">
        <f t="shared" si="0"/>
        <v>7.75</v>
      </c>
      <c r="J17" s="36" t="s">
        <v>25</v>
      </c>
      <c r="K17" s="36" t="s">
        <v>63</v>
      </c>
      <c r="L17" s="39" t="str">
        <f>VLOOKUP('Time Tracking'!$D17,Lists!O:P,2,FALSE)</f>
        <v>Content_Azure (1647764)</v>
      </c>
      <c r="M17" s="51" t="str">
        <f>VLOOKUP(C17,Lists!$R$1:$S$15,2,FALSE)</f>
        <v>CnE_UE_FernandoD (20170837)</v>
      </c>
      <c r="N17" s="37"/>
    </row>
    <row r="18" spans="1:14" s="24" customFormat="1" x14ac:dyDescent="0.25">
      <c r="A18" s="32" t="s">
        <v>443</v>
      </c>
      <c r="B18" s="33" t="s">
        <v>221</v>
      </c>
      <c r="C18" s="33" t="s">
        <v>203</v>
      </c>
      <c r="D18" s="33" t="s">
        <v>236</v>
      </c>
      <c r="E18" s="44" t="str">
        <f>VLOOKUP(A18,Lists!$U$1:$V$121,2,FALSE)</f>
        <v>AR</v>
      </c>
      <c r="F18" s="34">
        <v>42928</v>
      </c>
      <c r="G18" s="35">
        <v>0.73958333333333337</v>
      </c>
      <c r="H18" s="35">
        <v>0.75</v>
      </c>
      <c r="I18" s="48">
        <f t="shared" si="0"/>
        <v>0.25</v>
      </c>
      <c r="J18" s="36" t="s">
        <v>201</v>
      </c>
      <c r="K18" s="36" t="s">
        <v>256</v>
      </c>
      <c r="L18" s="39" t="str">
        <f>VLOOKUP('Time Tracking'!$D18,Lists!O:P,2,FALSE)</f>
        <v>Not Billable</v>
      </c>
      <c r="M18" s="51" t="str">
        <f>VLOOKUP(C18,Lists!$R$1:$S$15,2,FALSE)</f>
        <v>N/A</v>
      </c>
      <c r="N18" s="37"/>
    </row>
    <row r="19" spans="1:14" s="24" customFormat="1" x14ac:dyDescent="0.25">
      <c r="A19" s="32" t="s">
        <v>443</v>
      </c>
      <c r="B19" s="33" t="s">
        <v>221</v>
      </c>
      <c r="C19" s="33" t="s">
        <v>235</v>
      </c>
      <c r="D19" s="33" t="s">
        <v>294</v>
      </c>
      <c r="E19" s="44" t="str">
        <f>VLOOKUP(A19,Lists!$U$1:$V$121,2,FALSE)</f>
        <v>AR</v>
      </c>
      <c r="F19" s="34">
        <v>42929</v>
      </c>
      <c r="G19" s="53">
        <v>0.41666666666666669</v>
      </c>
      <c r="H19" s="35">
        <v>0.73958333333333337</v>
      </c>
      <c r="I19" s="48">
        <f t="shared" si="0"/>
        <v>7.75</v>
      </c>
      <c r="J19" s="36" t="s">
        <v>25</v>
      </c>
      <c r="K19" s="36" t="s">
        <v>63</v>
      </c>
      <c r="L19" s="39" t="str">
        <f>VLOOKUP('Time Tracking'!$D19,Lists!O:P,2,FALSE)</f>
        <v>Content_Azure (1647764)</v>
      </c>
      <c r="M19" s="51" t="str">
        <f>VLOOKUP(C19,Lists!$R$1:$S$15,2,FALSE)</f>
        <v>CnE_UE_FernandoD (20170837)</v>
      </c>
      <c r="N19" s="37"/>
    </row>
    <row r="20" spans="1:14" s="24" customFormat="1" x14ac:dyDescent="0.25">
      <c r="A20" s="32" t="s">
        <v>443</v>
      </c>
      <c r="B20" s="33" t="s">
        <v>221</v>
      </c>
      <c r="C20" s="33" t="s">
        <v>203</v>
      </c>
      <c r="D20" s="33" t="s">
        <v>236</v>
      </c>
      <c r="E20" s="44" t="str">
        <f>VLOOKUP(A20,Lists!$U$1:$V$121,2,FALSE)</f>
        <v>AR</v>
      </c>
      <c r="F20" s="34">
        <v>42929</v>
      </c>
      <c r="G20" s="35">
        <v>0.73958333333333337</v>
      </c>
      <c r="H20" s="35">
        <v>0.75</v>
      </c>
      <c r="I20" s="48">
        <f t="shared" si="0"/>
        <v>0.25</v>
      </c>
      <c r="J20" s="36" t="s">
        <v>201</v>
      </c>
      <c r="K20" s="36" t="s">
        <v>256</v>
      </c>
      <c r="L20" s="39" t="str">
        <f>VLOOKUP('Time Tracking'!$D20,Lists!O:P,2,FALSE)</f>
        <v>Not Billable</v>
      </c>
      <c r="M20" s="51" t="str">
        <f>VLOOKUP(C20,Lists!$R$1:$S$15,2,FALSE)</f>
        <v>N/A</v>
      </c>
      <c r="N20" s="37"/>
    </row>
    <row r="21" spans="1:14" s="24" customFormat="1" x14ac:dyDescent="0.25">
      <c r="A21" s="32" t="s">
        <v>443</v>
      </c>
      <c r="B21" s="33" t="s">
        <v>221</v>
      </c>
      <c r="C21" s="33" t="s">
        <v>235</v>
      </c>
      <c r="D21" s="33" t="s">
        <v>294</v>
      </c>
      <c r="E21" s="44" t="str">
        <f>VLOOKUP(A21,Lists!$U$1:$V$121,2,FALSE)</f>
        <v>AR</v>
      </c>
      <c r="F21" s="34">
        <v>42930</v>
      </c>
      <c r="G21" s="53">
        <v>0.41666666666666669</v>
      </c>
      <c r="H21" s="35">
        <v>0.73958333333333337</v>
      </c>
      <c r="I21" s="48">
        <f t="shared" si="0"/>
        <v>7.75</v>
      </c>
      <c r="J21" s="36" t="s">
        <v>25</v>
      </c>
      <c r="K21" s="36" t="s">
        <v>63</v>
      </c>
      <c r="L21" s="39" t="str">
        <f>VLOOKUP('Time Tracking'!$D21,Lists!O:P,2,FALSE)</f>
        <v>Content_Azure (1647764)</v>
      </c>
      <c r="M21" s="51" t="str">
        <f>VLOOKUP(C21,Lists!$R$1:$S$15,2,FALSE)</f>
        <v>CnE_UE_FernandoD (20170837)</v>
      </c>
      <c r="N21" s="37"/>
    </row>
    <row r="22" spans="1:14" s="24" customFormat="1" x14ac:dyDescent="0.25">
      <c r="A22" s="32" t="s">
        <v>443</v>
      </c>
      <c r="B22" s="33" t="s">
        <v>221</v>
      </c>
      <c r="C22" s="33" t="s">
        <v>203</v>
      </c>
      <c r="D22" s="33" t="s">
        <v>236</v>
      </c>
      <c r="E22" s="44" t="str">
        <f>VLOOKUP(A22,Lists!$U$1:$V$121,2,FALSE)</f>
        <v>AR</v>
      </c>
      <c r="F22" s="34">
        <v>42930</v>
      </c>
      <c r="G22" s="35">
        <v>0.73958333333333337</v>
      </c>
      <c r="H22" s="35">
        <v>0.75</v>
      </c>
      <c r="I22" s="48">
        <f t="shared" si="0"/>
        <v>0.25</v>
      </c>
      <c r="J22" s="36" t="s">
        <v>201</v>
      </c>
      <c r="K22" s="36" t="s">
        <v>256</v>
      </c>
      <c r="L22" s="39" t="str">
        <f>VLOOKUP('Time Tracking'!$D22,Lists!O:P,2,FALSE)</f>
        <v>Not Billable</v>
      </c>
      <c r="M22" s="51" t="str">
        <f>VLOOKUP(C22,Lists!$R$1:$S$15,2,FALSE)</f>
        <v>N/A</v>
      </c>
      <c r="N22" s="37"/>
    </row>
    <row r="23" spans="1:14" s="24" customFormat="1" x14ac:dyDescent="0.25">
      <c r="A23" s="32" t="s">
        <v>443</v>
      </c>
      <c r="B23" s="33" t="s">
        <v>221</v>
      </c>
      <c r="C23" s="33" t="s">
        <v>235</v>
      </c>
      <c r="D23" s="33" t="s">
        <v>294</v>
      </c>
      <c r="E23" s="44" t="str">
        <f>VLOOKUP(A23,Lists!$U$1:$V$121,2,FALSE)</f>
        <v>AR</v>
      </c>
      <c r="F23" s="34">
        <v>42933</v>
      </c>
      <c r="G23" s="53">
        <v>0.41666666666666669</v>
      </c>
      <c r="H23" s="35">
        <v>0.73958333333333337</v>
      </c>
      <c r="I23" s="48">
        <f t="shared" si="0"/>
        <v>7.75</v>
      </c>
      <c r="J23" s="36" t="s">
        <v>25</v>
      </c>
      <c r="K23" s="36" t="s">
        <v>63</v>
      </c>
      <c r="L23" s="39" t="str">
        <f>VLOOKUP('Time Tracking'!$D23,Lists!O:P,2,FALSE)</f>
        <v>Content_Azure (1647764)</v>
      </c>
      <c r="M23" s="51" t="str">
        <f>VLOOKUP(C23,Lists!$R$1:$S$15,2,FALSE)</f>
        <v>CnE_UE_FernandoD (20170837)</v>
      </c>
      <c r="N23" s="37"/>
    </row>
    <row r="24" spans="1:14" s="24" customFormat="1" x14ac:dyDescent="0.25">
      <c r="A24" s="32" t="s">
        <v>443</v>
      </c>
      <c r="B24" s="33" t="s">
        <v>221</v>
      </c>
      <c r="C24" s="33" t="s">
        <v>203</v>
      </c>
      <c r="D24" s="33" t="s">
        <v>236</v>
      </c>
      <c r="E24" s="44" t="str">
        <f>VLOOKUP(A24,Lists!$U$1:$V$121,2,FALSE)</f>
        <v>AR</v>
      </c>
      <c r="F24" s="34">
        <v>42933</v>
      </c>
      <c r="G24" s="35">
        <v>0.73958333333333337</v>
      </c>
      <c r="H24" s="35">
        <v>0.75</v>
      </c>
      <c r="I24" s="48">
        <f t="shared" si="0"/>
        <v>0.25</v>
      </c>
      <c r="J24" s="36" t="s">
        <v>201</v>
      </c>
      <c r="K24" s="36" t="s">
        <v>256</v>
      </c>
      <c r="L24" s="39" t="str">
        <f>VLOOKUP('Time Tracking'!$D24,Lists!O:P,2,FALSE)</f>
        <v>Not Billable</v>
      </c>
      <c r="M24" s="51" t="str">
        <f>VLOOKUP(C24,Lists!$R$1:$S$15,2,FALSE)</f>
        <v>N/A</v>
      </c>
      <c r="N24" s="37"/>
    </row>
    <row r="25" spans="1:14" s="24" customFormat="1" x14ac:dyDescent="0.25">
      <c r="A25" s="32" t="s">
        <v>443</v>
      </c>
      <c r="B25" s="33" t="s">
        <v>221</v>
      </c>
      <c r="C25" s="33" t="s">
        <v>235</v>
      </c>
      <c r="D25" s="33" t="s">
        <v>294</v>
      </c>
      <c r="E25" s="44" t="str">
        <f>VLOOKUP(A25,Lists!$U$1:$V$121,2,FALSE)</f>
        <v>AR</v>
      </c>
      <c r="F25" s="34">
        <v>42934</v>
      </c>
      <c r="G25" s="53">
        <v>0.41666666666666669</v>
      </c>
      <c r="H25" s="35">
        <v>0.73958333333333337</v>
      </c>
      <c r="I25" s="48">
        <f t="shared" si="0"/>
        <v>7.75</v>
      </c>
      <c r="J25" s="36" t="s">
        <v>25</v>
      </c>
      <c r="K25" s="36" t="s">
        <v>65</v>
      </c>
      <c r="L25" s="39" t="str">
        <f>VLOOKUP('Time Tracking'!$D25,Lists!O:P,2,FALSE)</f>
        <v>Content_Azure (1647764)</v>
      </c>
      <c r="M25" s="51" t="str">
        <f>VLOOKUP(C25,Lists!$R$1:$S$15,2,FALSE)</f>
        <v>CnE_UE_FernandoD (20170837)</v>
      </c>
      <c r="N25" s="37"/>
    </row>
    <row r="26" spans="1:14" s="24" customFormat="1" x14ac:dyDescent="0.25">
      <c r="A26" s="32" t="s">
        <v>443</v>
      </c>
      <c r="B26" s="33" t="s">
        <v>221</v>
      </c>
      <c r="C26" s="33" t="s">
        <v>203</v>
      </c>
      <c r="D26" s="33" t="s">
        <v>236</v>
      </c>
      <c r="E26" s="44" t="str">
        <f>VLOOKUP(A26,Lists!$U$1:$V$121,2,FALSE)</f>
        <v>AR</v>
      </c>
      <c r="F26" s="34">
        <v>42934</v>
      </c>
      <c r="G26" s="35">
        <v>0.73958333333333337</v>
      </c>
      <c r="H26" s="35">
        <v>0.75</v>
      </c>
      <c r="I26" s="48">
        <f t="shared" si="0"/>
        <v>0.25</v>
      </c>
      <c r="J26" s="36" t="s">
        <v>201</v>
      </c>
      <c r="K26" s="36" t="s">
        <v>256</v>
      </c>
      <c r="L26" s="39" t="str">
        <f>VLOOKUP('Time Tracking'!$D26,Lists!O:P,2,FALSE)</f>
        <v>Not Billable</v>
      </c>
      <c r="M26" s="51" t="str">
        <f>VLOOKUP(C26,Lists!$R$1:$S$15,2,FALSE)</f>
        <v>N/A</v>
      </c>
      <c r="N26" s="37"/>
    </row>
    <row r="27" spans="1:14" s="24" customFormat="1" x14ac:dyDescent="0.25">
      <c r="A27" s="32" t="s">
        <v>443</v>
      </c>
      <c r="B27" s="33" t="s">
        <v>221</v>
      </c>
      <c r="C27" s="33" t="s">
        <v>235</v>
      </c>
      <c r="D27" s="33" t="s">
        <v>294</v>
      </c>
      <c r="E27" s="44" t="str">
        <f>VLOOKUP(A27,Lists!$U$1:$V$121,2,FALSE)</f>
        <v>AR</v>
      </c>
      <c r="F27" s="34">
        <v>42935</v>
      </c>
      <c r="G27" s="53">
        <v>0.41666666666666669</v>
      </c>
      <c r="H27" s="35">
        <v>0.45833333333333331</v>
      </c>
      <c r="I27" s="48">
        <f t="shared" si="0"/>
        <v>1</v>
      </c>
      <c r="J27" s="36" t="s">
        <v>30</v>
      </c>
      <c r="K27" s="36" t="s">
        <v>33</v>
      </c>
      <c r="L27" s="39" t="str">
        <f>VLOOKUP('Time Tracking'!$D27,Lists!O:P,2,FALSE)</f>
        <v>Content_Azure (1647764)</v>
      </c>
      <c r="M27" s="51" t="str">
        <f>VLOOKUP(C27,Lists!$R$1:$S$15,2,FALSE)</f>
        <v>CnE_UE_FernandoD (20170837)</v>
      </c>
      <c r="N27" s="37" t="s">
        <v>444</v>
      </c>
    </row>
    <row r="28" spans="1:14" s="24" customFormat="1" x14ac:dyDescent="0.25">
      <c r="A28" s="32" t="s">
        <v>443</v>
      </c>
      <c r="B28" s="33" t="s">
        <v>221</v>
      </c>
      <c r="C28" s="33" t="s">
        <v>235</v>
      </c>
      <c r="D28" s="33" t="s">
        <v>294</v>
      </c>
      <c r="E28" s="44" t="str">
        <f>VLOOKUP(A28,Lists!$U$1:$V$121,2,FALSE)</f>
        <v>AR</v>
      </c>
      <c r="F28" s="34">
        <v>42935</v>
      </c>
      <c r="G28" s="35">
        <v>0.45833333333333331</v>
      </c>
      <c r="H28" s="35">
        <v>0.73958333333333337</v>
      </c>
      <c r="I28" s="48">
        <f t="shared" si="0"/>
        <v>6.75</v>
      </c>
      <c r="J28" s="36" t="s">
        <v>25</v>
      </c>
      <c r="K28" s="36" t="s">
        <v>65</v>
      </c>
      <c r="L28" s="39" t="str">
        <f>VLOOKUP('Time Tracking'!$D28,Lists!O:P,2,FALSE)</f>
        <v>Content_Azure (1647764)</v>
      </c>
      <c r="M28" s="51" t="str">
        <f>VLOOKUP(C28,Lists!$R$1:$S$15,2,FALSE)</f>
        <v>CnE_UE_FernandoD (20170837)</v>
      </c>
      <c r="N28" s="37"/>
    </row>
    <row r="29" spans="1:14" s="24" customFormat="1" x14ac:dyDescent="0.25">
      <c r="A29" s="32" t="s">
        <v>443</v>
      </c>
      <c r="B29" s="33" t="s">
        <v>221</v>
      </c>
      <c r="C29" s="33" t="s">
        <v>203</v>
      </c>
      <c r="D29" s="33" t="s">
        <v>236</v>
      </c>
      <c r="E29" s="44" t="str">
        <f>VLOOKUP(A29,Lists!$U$1:$V$121,2,FALSE)</f>
        <v>AR</v>
      </c>
      <c r="F29" s="34">
        <v>42935</v>
      </c>
      <c r="G29" s="35">
        <v>0.73958333333333337</v>
      </c>
      <c r="H29" s="35">
        <v>0.75</v>
      </c>
      <c r="I29" s="48">
        <f t="shared" si="0"/>
        <v>0.25</v>
      </c>
      <c r="J29" s="36" t="s">
        <v>201</v>
      </c>
      <c r="K29" s="36" t="s">
        <v>256</v>
      </c>
      <c r="L29" s="39" t="str">
        <f>VLOOKUP('Time Tracking'!$D29,Lists!O:P,2,FALSE)</f>
        <v>Not Billable</v>
      </c>
      <c r="M29" s="51" t="str">
        <f>VLOOKUP(C29,Lists!$R$1:$S$15,2,FALSE)</f>
        <v>N/A</v>
      </c>
      <c r="N29" s="37"/>
    </row>
    <row r="30" spans="1:14" s="24" customFormat="1" x14ac:dyDescent="0.25">
      <c r="A30" s="32" t="s">
        <v>443</v>
      </c>
      <c r="B30" s="33" t="s">
        <v>221</v>
      </c>
      <c r="C30" s="33" t="s">
        <v>235</v>
      </c>
      <c r="D30" s="33" t="s">
        <v>294</v>
      </c>
      <c r="E30" s="44" t="str">
        <f>VLOOKUP(A30,Lists!$U$1:$V$121,2,FALSE)</f>
        <v>AR</v>
      </c>
      <c r="F30" s="34">
        <v>42936</v>
      </c>
      <c r="G30" s="53">
        <v>0.41666666666666669</v>
      </c>
      <c r="H30" s="35">
        <v>0.73958333333333337</v>
      </c>
      <c r="I30" s="48">
        <f t="shared" si="0"/>
        <v>7.75</v>
      </c>
      <c r="J30" s="36" t="s">
        <v>25</v>
      </c>
      <c r="K30" s="36" t="s">
        <v>65</v>
      </c>
      <c r="L30" s="39" t="str">
        <f>VLOOKUP('Time Tracking'!$D30,Lists!O:P,2,FALSE)</f>
        <v>Content_Azure (1647764)</v>
      </c>
      <c r="M30" s="51" t="str">
        <f>VLOOKUP(C30,Lists!$R$1:$S$15,2,FALSE)</f>
        <v>CnE_UE_FernandoD (20170837)</v>
      </c>
      <c r="N30" s="37"/>
    </row>
    <row r="31" spans="1:14" s="24" customFormat="1" x14ac:dyDescent="0.25">
      <c r="A31" s="32" t="s">
        <v>443</v>
      </c>
      <c r="B31" s="33" t="s">
        <v>221</v>
      </c>
      <c r="C31" s="33" t="s">
        <v>203</v>
      </c>
      <c r="D31" s="33" t="s">
        <v>236</v>
      </c>
      <c r="E31" s="44" t="str">
        <f>VLOOKUP(A31,Lists!$U$1:$V$121,2,FALSE)</f>
        <v>AR</v>
      </c>
      <c r="F31" s="34">
        <v>42936</v>
      </c>
      <c r="G31" s="35">
        <v>0.73958333333333337</v>
      </c>
      <c r="H31" s="35">
        <v>0.75</v>
      </c>
      <c r="I31" s="48">
        <f t="shared" si="0"/>
        <v>0.25</v>
      </c>
      <c r="J31" s="36" t="s">
        <v>201</v>
      </c>
      <c r="K31" s="36" t="s">
        <v>256</v>
      </c>
      <c r="L31" s="39" t="str">
        <f>VLOOKUP('Time Tracking'!$D31,Lists!O:P,2,FALSE)</f>
        <v>Not Billable</v>
      </c>
      <c r="M31" s="51" t="str">
        <f>VLOOKUP(C31,Lists!$R$1:$S$15,2,FALSE)</f>
        <v>N/A</v>
      </c>
      <c r="N31" s="37"/>
    </row>
    <row r="32" spans="1:14" s="24" customFormat="1" x14ac:dyDescent="0.25">
      <c r="A32" s="32" t="s">
        <v>443</v>
      </c>
      <c r="B32" s="33" t="s">
        <v>221</v>
      </c>
      <c r="C32" s="33" t="s">
        <v>235</v>
      </c>
      <c r="D32" s="33" t="s">
        <v>294</v>
      </c>
      <c r="E32" s="44" t="str">
        <f>VLOOKUP(A32,Lists!$U$1:$V$121,2,FALSE)</f>
        <v>AR</v>
      </c>
      <c r="F32" s="34">
        <v>42937</v>
      </c>
      <c r="G32" s="53">
        <v>0.41666666666666669</v>
      </c>
      <c r="H32" s="35">
        <v>0.69791666666666663</v>
      </c>
      <c r="I32" s="48">
        <f t="shared" si="0"/>
        <v>6.75</v>
      </c>
      <c r="J32" s="36" t="s">
        <v>25</v>
      </c>
      <c r="K32" s="36" t="s">
        <v>63</v>
      </c>
      <c r="L32" s="39" t="str">
        <f>VLOOKUP('Time Tracking'!$D32,Lists!O:P,2,FALSE)</f>
        <v>Content_Azure (1647764)</v>
      </c>
      <c r="M32" s="51" t="str">
        <f>VLOOKUP(C32,Lists!$R$1:$S$15,2,FALSE)</f>
        <v>CnE_UE_FernandoD (20170837)</v>
      </c>
      <c r="N32" s="37"/>
    </row>
    <row r="33" spans="1:14" s="24" customFormat="1" x14ac:dyDescent="0.25">
      <c r="A33" s="32" t="s">
        <v>443</v>
      </c>
      <c r="B33" s="33" t="s">
        <v>221</v>
      </c>
      <c r="C33" s="33" t="s">
        <v>235</v>
      </c>
      <c r="D33" s="33" t="s">
        <v>294</v>
      </c>
      <c r="E33" s="44" t="str">
        <f>VLOOKUP(A33,Lists!$U$1:$V$121,2,FALSE)</f>
        <v>AR</v>
      </c>
      <c r="F33" s="34">
        <v>42937</v>
      </c>
      <c r="G33" s="35">
        <v>0.69791666666666663</v>
      </c>
      <c r="H33" s="35">
        <v>0.73958333333333337</v>
      </c>
      <c r="I33" s="48">
        <f t="shared" si="0"/>
        <v>1</v>
      </c>
      <c r="J33" s="36" t="s">
        <v>30</v>
      </c>
      <c r="K33" s="36" t="s">
        <v>33</v>
      </c>
      <c r="L33" s="39" t="str">
        <f>VLOOKUP('Time Tracking'!$D33,Lists!O:P,2,FALSE)</f>
        <v>Content_Azure (1647764)</v>
      </c>
      <c r="M33" s="51" t="str">
        <f>VLOOKUP(C33,Lists!$R$1:$S$15,2,FALSE)</f>
        <v>CnE_UE_FernandoD (20170837)</v>
      </c>
      <c r="N33" s="37" t="s">
        <v>445</v>
      </c>
    </row>
    <row r="34" spans="1:14" s="24" customFormat="1" x14ac:dyDescent="0.25">
      <c r="A34" s="32" t="s">
        <v>443</v>
      </c>
      <c r="B34" s="33" t="s">
        <v>221</v>
      </c>
      <c r="C34" s="33" t="s">
        <v>203</v>
      </c>
      <c r="D34" s="33" t="s">
        <v>236</v>
      </c>
      <c r="E34" s="44" t="str">
        <f>VLOOKUP(A34,Lists!$U$1:$V$121,2,FALSE)</f>
        <v>AR</v>
      </c>
      <c r="F34" s="34">
        <v>42937</v>
      </c>
      <c r="G34" s="35">
        <v>0.73958333333333337</v>
      </c>
      <c r="H34" s="35">
        <v>0.75</v>
      </c>
      <c r="I34" s="48">
        <f t="shared" si="0"/>
        <v>0.25</v>
      </c>
      <c r="J34" s="36" t="s">
        <v>201</v>
      </c>
      <c r="K34" s="36" t="s">
        <v>256</v>
      </c>
      <c r="L34" s="39" t="str">
        <f>VLOOKUP('Time Tracking'!$D34,Lists!O:P,2,FALSE)</f>
        <v>Not Billable</v>
      </c>
      <c r="M34" s="51" t="str">
        <f>VLOOKUP(C34,Lists!$R$1:$S$15,2,FALSE)</f>
        <v>N/A</v>
      </c>
      <c r="N34" s="37"/>
    </row>
    <row r="35" spans="1:14" s="24" customFormat="1" x14ac:dyDescent="0.25">
      <c r="A35" s="32" t="s">
        <v>443</v>
      </c>
      <c r="B35" s="33" t="s">
        <v>221</v>
      </c>
      <c r="C35" s="33" t="s">
        <v>235</v>
      </c>
      <c r="D35" s="33" t="s">
        <v>294</v>
      </c>
      <c r="E35" s="44" t="str">
        <f>VLOOKUP(A35,Lists!$U$1:$V$121,2,FALSE)</f>
        <v>AR</v>
      </c>
      <c r="F35" s="34">
        <v>42940</v>
      </c>
      <c r="G35" s="53">
        <v>0.41666666666666669</v>
      </c>
      <c r="H35" s="35">
        <v>0.73958333333333337</v>
      </c>
      <c r="I35" s="48">
        <f t="shared" si="0"/>
        <v>7.75</v>
      </c>
      <c r="J35" s="36" t="s">
        <v>25</v>
      </c>
      <c r="K35" s="36" t="s">
        <v>65</v>
      </c>
      <c r="L35" s="39" t="str">
        <f>VLOOKUP('Time Tracking'!$D35,Lists!O:P,2,FALSE)</f>
        <v>Content_Azure (1647764)</v>
      </c>
      <c r="M35" s="51" t="str">
        <f>VLOOKUP(C35,Lists!$R$1:$S$15,2,FALSE)</f>
        <v>CnE_UE_FernandoD (20170837)</v>
      </c>
      <c r="N35" s="37"/>
    </row>
    <row r="36" spans="1:14" s="24" customFormat="1" x14ac:dyDescent="0.25">
      <c r="A36" s="32" t="s">
        <v>443</v>
      </c>
      <c r="B36" s="33" t="s">
        <v>221</v>
      </c>
      <c r="C36" s="33" t="s">
        <v>203</v>
      </c>
      <c r="D36" s="33" t="s">
        <v>236</v>
      </c>
      <c r="E36" s="44" t="str">
        <f>VLOOKUP(A36,Lists!$U$1:$V$121,2,FALSE)</f>
        <v>AR</v>
      </c>
      <c r="F36" s="34">
        <v>42940</v>
      </c>
      <c r="G36" s="35">
        <v>0.73958333333333337</v>
      </c>
      <c r="H36" s="35">
        <v>0.75</v>
      </c>
      <c r="I36" s="48">
        <f t="shared" si="0"/>
        <v>0.25</v>
      </c>
      <c r="J36" s="36" t="s">
        <v>201</v>
      </c>
      <c r="K36" s="36" t="s">
        <v>256</v>
      </c>
      <c r="L36" s="39" t="str">
        <f>VLOOKUP('Time Tracking'!$D36,Lists!O:P,2,FALSE)</f>
        <v>Not Billable</v>
      </c>
      <c r="M36" s="51" t="str">
        <f>VLOOKUP(C36,Lists!$R$1:$S$15,2,FALSE)</f>
        <v>N/A</v>
      </c>
      <c r="N36" s="37"/>
    </row>
    <row r="37" spans="1:14" s="24" customFormat="1" x14ac:dyDescent="0.25">
      <c r="A37" s="32" t="s">
        <v>443</v>
      </c>
      <c r="B37" s="33" t="s">
        <v>221</v>
      </c>
      <c r="C37" s="33" t="s">
        <v>235</v>
      </c>
      <c r="D37" s="33" t="s">
        <v>294</v>
      </c>
      <c r="E37" s="44" t="str">
        <f>VLOOKUP(A37,Lists!$U$1:$V$121,2,FALSE)</f>
        <v>AR</v>
      </c>
      <c r="F37" s="34">
        <v>42941</v>
      </c>
      <c r="G37" s="53">
        <v>0.41666666666666669</v>
      </c>
      <c r="H37" s="35">
        <v>0.67708333333333337</v>
      </c>
      <c r="I37" s="48">
        <f t="shared" si="0"/>
        <v>6.25</v>
      </c>
      <c r="J37" s="36" t="s">
        <v>25</v>
      </c>
      <c r="K37" s="36" t="s">
        <v>65</v>
      </c>
      <c r="L37" s="39" t="str">
        <f>VLOOKUP('Time Tracking'!$D37,Lists!O:P,2,FALSE)</f>
        <v>Content_Azure (1647764)</v>
      </c>
      <c r="M37" s="51" t="str">
        <f>VLOOKUP(C37,Lists!$R$1:$S$15,2,FALSE)</f>
        <v>CnE_UE_FernandoD (20170837)</v>
      </c>
      <c r="N37" s="37"/>
    </row>
    <row r="38" spans="1:14" s="24" customFormat="1" x14ac:dyDescent="0.25">
      <c r="A38" s="32" t="s">
        <v>443</v>
      </c>
      <c r="B38" s="33" t="s">
        <v>221</v>
      </c>
      <c r="C38" s="33" t="s">
        <v>235</v>
      </c>
      <c r="D38" s="33" t="s">
        <v>294</v>
      </c>
      <c r="E38" s="44" t="str">
        <f>VLOOKUP(A38,Lists!$U$1:$V$121,2,FALSE)</f>
        <v>AR</v>
      </c>
      <c r="F38" s="34">
        <v>42941</v>
      </c>
      <c r="G38" s="35">
        <v>0.67708333333333337</v>
      </c>
      <c r="H38" s="35">
        <v>0.73958333333333337</v>
      </c>
      <c r="I38" s="48">
        <f t="shared" si="0"/>
        <v>1.5</v>
      </c>
      <c r="J38" s="36" t="s">
        <v>30</v>
      </c>
      <c r="K38" s="36" t="s">
        <v>35</v>
      </c>
      <c r="L38" s="39" t="str">
        <f>VLOOKUP('Time Tracking'!$D38,Lists!O:P,2,FALSE)</f>
        <v>Content_Azure (1647764)</v>
      </c>
      <c r="M38" s="51" t="str">
        <f>VLOOKUP(C38,Lists!$R$1:$S$15,2,FALSE)</f>
        <v>CnE_UE_FernandoD (20170837)</v>
      </c>
      <c r="N38" s="37"/>
    </row>
    <row r="39" spans="1:14" s="24" customFormat="1" x14ac:dyDescent="0.25">
      <c r="A39" s="32" t="s">
        <v>443</v>
      </c>
      <c r="B39" s="33" t="s">
        <v>221</v>
      </c>
      <c r="C39" s="33" t="s">
        <v>203</v>
      </c>
      <c r="D39" s="33" t="s">
        <v>236</v>
      </c>
      <c r="E39" s="44" t="str">
        <f>VLOOKUP(A39,Lists!$U$1:$V$121,2,FALSE)</f>
        <v>AR</v>
      </c>
      <c r="F39" s="34">
        <v>42941</v>
      </c>
      <c r="G39" s="35">
        <v>0.73958333333333337</v>
      </c>
      <c r="H39" s="35">
        <v>0.75</v>
      </c>
      <c r="I39" s="48">
        <f t="shared" si="0"/>
        <v>0.25</v>
      </c>
      <c r="J39" s="36" t="s">
        <v>201</v>
      </c>
      <c r="K39" s="36" t="s">
        <v>256</v>
      </c>
      <c r="L39" s="39" t="str">
        <f>VLOOKUP('Time Tracking'!$D39,Lists!O:P,2,FALSE)</f>
        <v>Not Billable</v>
      </c>
      <c r="M39" s="51" t="str">
        <f>VLOOKUP(C39,Lists!$R$1:$S$15,2,FALSE)</f>
        <v>N/A</v>
      </c>
      <c r="N39" s="37"/>
    </row>
    <row r="40" spans="1:14" s="24" customFormat="1" x14ac:dyDescent="0.25">
      <c r="A40" s="32" t="s">
        <v>443</v>
      </c>
      <c r="B40" s="33" t="s">
        <v>221</v>
      </c>
      <c r="C40" s="33" t="s">
        <v>235</v>
      </c>
      <c r="D40" s="33" t="s">
        <v>294</v>
      </c>
      <c r="E40" s="44" t="str">
        <f>VLOOKUP(A40,Lists!$U$1:$V$121,2,FALSE)</f>
        <v>AR</v>
      </c>
      <c r="F40" s="34">
        <v>42942</v>
      </c>
      <c r="G40" s="53">
        <v>0.41666666666666669</v>
      </c>
      <c r="H40" s="35">
        <v>0.73958333333333337</v>
      </c>
      <c r="I40" s="48">
        <f t="shared" si="0"/>
        <v>7.75</v>
      </c>
      <c r="J40" s="36" t="s">
        <v>25</v>
      </c>
      <c r="K40" s="36" t="s">
        <v>65</v>
      </c>
      <c r="L40" s="39" t="str">
        <f>VLOOKUP('Time Tracking'!$D40,Lists!O:P,2,FALSE)</f>
        <v>Content_Azure (1647764)</v>
      </c>
      <c r="M40" s="51" t="str">
        <f>VLOOKUP(C40,Lists!$R$1:$S$15,2,FALSE)</f>
        <v>CnE_UE_FernandoD (20170837)</v>
      </c>
      <c r="N40" s="37"/>
    </row>
    <row r="41" spans="1:14" s="24" customFormat="1" x14ac:dyDescent="0.25">
      <c r="A41" s="32" t="s">
        <v>443</v>
      </c>
      <c r="B41" s="33" t="s">
        <v>221</v>
      </c>
      <c r="C41" s="33" t="s">
        <v>203</v>
      </c>
      <c r="D41" s="33" t="s">
        <v>236</v>
      </c>
      <c r="E41" s="44" t="str">
        <f>VLOOKUP(A41,Lists!$U$1:$V$121,2,FALSE)</f>
        <v>AR</v>
      </c>
      <c r="F41" s="34">
        <v>42942</v>
      </c>
      <c r="G41" s="35">
        <v>0.73958333333333337</v>
      </c>
      <c r="H41" s="35">
        <v>0.75</v>
      </c>
      <c r="I41" s="48">
        <f t="shared" si="0"/>
        <v>0.25</v>
      </c>
      <c r="J41" s="36" t="s">
        <v>201</v>
      </c>
      <c r="K41" s="36" t="s">
        <v>256</v>
      </c>
      <c r="L41" s="39" t="str">
        <f>VLOOKUP('Time Tracking'!$D41,Lists!O:P,2,FALSE)</f>
        <v>Not Billable</v>
      </c>
      <c r="M41" s="51" t="str">
        <f>VLOOKUP(C41,Lists!$R$1:$S$15,2,FALSE)</f>
        <v>N/A</v>
      </c>
      <c r="N41" s="37"/>
    </row>
    <row r="42" spans="1:14" s="24" customFormat="1" x14ac:dyDescent="0.25">
      <c r="A42" s="32" t="s">
        <v>443</v>
      </c>
      <c r="B42" s="33" t="s">
        <v>221</v>
      </c>
      <c r="C42" s="33" t="s">
        <v>235</v>
      </c>
      <c r="D42" s="33" t="s">
        <v>294</v>
      </c>
      <c r="E42" s="44" t="str">
        <f>VLOOKUP(A42,Lists!$U$1:$V$121,2,FALSE)</f>
        <v>AR</v>
      </c>
      <c r="F42" s="34">
        <v>42943</v>
      </c>
      <c r="G42" s="53">
        <v>0.41666666666666669</v>
      </c>
      <c r="H42" s="35">
        <v>0.73958333333333337</v>
      </c>
      <c r="I42" s="48">
        <f t="shared" si="0"/>
        <v>7.75</v>
      </c>
      <c r="J42" s="36" t="s">
        <v>25</v>
      </c>
      <c r="K42" s="36" t="s">
        <v>63</v>
      </c>
      <c r="L42" s="39" t="str">
        <f>VLOOKUP('Time Tracking'!$D42,Lists!O:P,2,FALSE)</f>
        <v>Content_Azure (1647764)</v>
      </c>
      <c r="M42" s="51" t="str">
        <f>VLOOKUP(C42,Lists!$R$1:$S$15,2,FALSE)</f>
        <v>CnE_UE_FernandoD (20170837)</v>
      </c>
      <c r="N42" s="37"/>
    </row>
    <row r="43" spans="1:14" s="24" customFormat="1" x14ac:dyDescent="0.25">
      <c r="A43" s="32" t="s">
        <v>443</v>
      </c>
      <c r="B43" s="33" t="s">
        <v>221</v>
      </c>
      <c r="C43" s="33" t="s">
        <v>203</v>
      </c>
      <c r="D43" s="33" t="s">
        <v>236</v>
      </c>
      <c r="E43" s="44" t="str">
        <f>VLOOKUP(A43,Lists!$U$1:$V$121,2,FALSE)</f>
        <v>AR</v>
      </c>
      <c r="F43" s="34">
        <v>42943</v>
      </c>
      <c r="G43" s="35">
        <v>0.73958333333333337</v>
      </c>
      <c r="H43" s="35">
        <v>0.75</v>
      </c>
      <c r="I43" s="48">
        <f t="shared" si="0"/>
        <v>0.25</v>
      </c>
      <c r="J43" s="36" t="s">
        <v>201</v>
      </c>
      <c r="K43" s="36" t="s">
        <v>256</v>
      </c>
      <c r="L43" s="39" t="str">
        <f>VLOOKUP('Time Tracking'!$D43,Lists!O:P,2,FALSE)</f>
        <v>Not Billable</v>
      </c>
      <c r="M43" s="51" t="str">
        <f>VLOOKUP(C43,Lists!$R$1:$S$15,2,FALSE)</f>
        <v>N/A</v>
      </c>
      <c r="N43" s="37"/>
    </row>
    <row r="44" spans="1:14" s="24" customFormat="1" x14ac:dyDescent="0.25">
      <c r="A44" s="32"/>
      <c r="B44" s="33"/>
      <c r="C44" s="33"/>
      <c r="D44" s="33"/>
      <c r="E44" s="44" t="e">
        <f>VLOOKUP(A44,Lists!$U$1:$V$121,2,FALSE)</f>
        <v>#N/A</v>
      </c>
      <c r="F44" s="34"/>
      <c r="G44" s="35"/>
      <c r="H44" s="35"/>
      <c r="I44" s="48">
        <f t="shared" si="0"/>
        <v>0</v>
      </c>
      <c r="J44" s="36"/>
      <c r="K44" s="36"/>
      <c r="L44" s="39" t="e">
        <f>VLOOKUP('Time Tracking'!$D44,Lists!O:P,2,FALSE)</f>
        <v>#N/A</v>
      </c>
      <c r="M44" s="51" t="e">
        <f>VLOOKUP(C44,Lists!$R$1:$S$15,2,FALSE)</f>
        <v>#N/A</v>
      </c>
      <c r="N44" s="37"/>
    </row>
    <row r="45" spans="1:14" s="24" customFormat="1" x14ac:dyDescent="0.25">
      <c r="A45" s="32"/>
      <c r="B45" s="33"/>
      <c r="C45" s="33"/>
      <c r="D45" s="33"/>
      <c r="E45" s="44" t="e">
        <f>VLOOKUP(A45,Lists!$U$1:$V$121,2,FALSE)</f>
        <v>#N/A</v>
      </c>
      <c r="F45" s="34"/>
      <c r="G45" s="35"/>
      <c r="H45" s="35"/>
      <c r="I45" s="48">
        <f t="shared" si="0"/>
        <v>0</v>
      </c>
      <c r="J45" s="36"/>
      <c r="K45" s="36"/>
      <c r="L45" s="39" t="e">
        <f>VLOOKUP('Time Tracking'!$D45,Lists!O:P,2,FALSE)</f>
        <v>#N/A</v>
      </c>
      <c r="M45" s="51" t="e">
        <f>VLOOKUP(C45,Lists!$R$1:$S$15,2,FALSE)</f>
        <v>#N/A</v>
      </c>
      <c r="N45" s="37"/>
    </row>
    <row r="46" spans="1:14" s="24" customFormat="1" x14ac:dyDescent="0.25">
      <c r="A46" s="32"/>
      <c r="B46" s="33"/>
      <c r="C46" s="33"/>
      <c r="D46" s="33"/>
      <c r="E46" s="44" t="e">
        <f>VLOOKUP(A46,Lists!$U$1:$V$121,2,FALSE)</f>
        <v>#N/A</v>
      </c>
      <c r="F46" s="34"/>
      <c r="G46" s="35"/>
      <c r="H46" s="35"/>
      <c r="I46" s="48">
        <f t="shared" si="0"/>
        <v>0</v>
      </c>
      <c r="J46" s="36"/>
      <c r="K46" s="36"/>
      <c r="L46" s="39" t="e">
        <f>VLOOKUP('Time Tracking'!$D46,Lists!O:P,2,FALSE)</f>
        <v>#N/A</v>
      </c>
      <c r="M46" s="51" t="e">
        <f>VLOOKUP(C46,Lists!$R$1:$S$15,2,FALSE)</f>
        <v>#N/A</v>
      </c>
      <c r="N46" s="37"/>
    </row>
    <row r="47" spans="1:14" s="24" customFormat="1" x14ac:dyDescent="0.25">
      <c r="A47" s="32"/>
      <c r="B47" s="33"/>
      <c r="C47" s="33"/>
      <c r="D47" s="33"/>
      <c r="E47" s="44" t="e">
        <f>VLOOKUP(A47,Lists!$U$1:$V$121,2,FALSE)</f>
        <v>#N/A</v>
      </c>
      <c r="F47" s="34"/>
      <c r="G47" s="35"/>
      <c r="H47" s="35"/>
      <c r="I47" s="48">
        <f t="shared" si="0"/>
        <v>0</v>
      </c>
      <c r="J47" s="36"/>
      <c r="K47" s="36"/>
      <c r="L47" s="39" t="e">
        <f>VLOOKUP('Time Tracking'!$D47,Lists!O:P,2,FALSE)</f>
        <v>#N/A</v>
      </c>
      <c r="M47" s="51" t="e">
        <f>VLOOKUP(C47,Lists!$R$1:$S$15,2,FALSE)</f>
        <v>#N/A</v>
      </c>
      <c r="N47" s="37"/>
    </row>
    <row r="48" spans="1:14" s="24" customFormat="1" x14ac:dyDescent="0.25">
      <c r="A48" s="32"/>
      <c r="B48" s="33"/>
      <c r="C48" s="33"/>
      <c r="D48" s="33"/>
      <c r="E48" s="44" t="e">
        <f>VLOOKUP(A48,Lists!$U$1:$V$121,2,FALSE)</f>
        <v>#N/A</v>
      </c>
      <c r="F48" s="34"/>
      <c r="G48" s="35"/>
      <c r="H48" s="35"/>
      <c r="I48" s="48">
        <f t="shared" si="0"/>
        <v>0</v>
      </c>
      <c r="J48" s="36"/>
      <c r="K48" s="36"/>
      <c r="L48" s="39" t="e">
        <f>VLOOKUP('Time Tracking'!$D48,Lists!O:P,2,FALSE)</f>
        <v>#N/A</v>
      </c>
      <c r="M48" s="51" t="e">
        <f>VLOOKUP(C48,Lists!$R$1:$S$15,2,FALSE)</f>
        <v>#N/A</v>
      </c>
      <c r="N48" s="37"/>
    </row>
    <row r="49" spans="1:14" s="24" customFormat="1" x14ac:dyDescent="0.25">
      <c r="A49" s="32"/>
      <c r="B49" s="33"/>
      <c r="C49" s="33"/>
      <c r="D49" s="33"/>
      <c r="E49" s="44" t="e">
        <f>VLOOKUP(A49,Lists!$U$1:$V$121,2,FALSE)</f>
        <v>#N/A</v>
      </c>
      <c r="F49" s="34"/>
      <c r="G49" s="35"/>
      <c r="H49" s="35"/>
      <c r="I49" s="48">
        <f t="shared" si="0"/>
        <v>0</v>
      </c>
      <c r="J49" s="36"/>
      <c r="K49" s="36"/>
      <c r="L49" s="39" t="e">
        <f>VLOOKUP('Time Tracking'!$D49,Lists!O:P,2,FALSE)</f>
        <v>#N/A</v>
      </c>
      <c r="M49" s="51" t="e">
        <f>VLOOKUP(C49,Lists!$R$1:$S$15,2,FALSE)</f>
        <v>#N/A</v>
      </c>
      <c r="N49" s="37"/>
    </row>
    <row r="50" spans="1:14" s="24" customFormat="1" x14ac:dyDescent="0.25">
      <c r="A50" s="32"/>
      <c r="B50" s="33"/>
      <c r="C50" s="33"/>
      <c r="D50" s="33"/>
      <c r="E50" s="44" t="e">
        <f>VLOOKUP(A50,Lists!$U$1:$V$121,2,FALSE)</f>
        <v>#N/A</v>
      </c>
      <c r="F50" s="34"/>
      <c r="G50" s="35"/>
      <c r="H50" s="35"/>
      <c r="I50" s="48">
        <f t="shared" si="0"/>
        <v>0</v>
      </c>
      <c r="J50" s="36"/>
      <c r="K50" s="36"/>
      <c r="L50" s="39" t="e">
        <f>VLOOKUP('Time Tracking'!$D50,Lists!O:P,2,FALSE)</f>
        <v>#N/A</v>
      </c>
      <c r="M50" s="51" t="e">
        <f>VLOOKUP(C50,Lists!$R$1:$S$15,2,FALSE)</f>
        <v>#N/A</v>
      </c>
      <c r="N50" s="37"/>
    </row>
    <row r="51" spans="1:14" s="24" customFormat="1" x14ac:dyDescent="0.25">
      <c r="A51" s="32"/>
      <c r="B51" s="33"/>
      <c r="C51" s="33"/>
      <c r="D51" s="33"/>
      <c r="E51" s="44" t="e">
        <f>VLOOKUP(A51,Lists!$U$1:$V$121,2,FALSE)</f>
        <v>#N/A</v>
      </c>
      <c r="F51" s="34"/>
      <c r="G51" s="35"/>
      <c r="H51" s="35"/>
      <c r="I51" s="48">
        <f t="shared" si="0"/>
        <v>0</v>
      </c>
      <c r="J51" s="36"/>
      <c r="K51" s="36"/>
      <c r="L51" s="39" t="e">
        <f>VLOOKUP('Time Tracking'!$D51,Lists!O:P,2,FALSE)</f>
        <v>#N/A</v>
      </c>
      <c r="M51" s="51" t="e">
        <f>VLOOKUP(C51,Lists!$R$1:$S$15,2,FALSE)</f>
        <v>#N/A</v>
      </c>
      <c r="N51" s="37"/>
    </row>
    <row r="52" spans="1:14" s="24" customFormat="1" x14ac:dyDescent="0.25">
      <c r="A52" s="32"/>
      <c r="B52" s="33"/>
      <c r="C52" s="33"/>
      <c r="D52" s="33"/>
      <c r="E52" s="44" t="e">
        <f>VLOOKUP(A52,Lists!$U$1:$V$121,2,FALSE)</f>
        <v>#N/A</v>
      </c>
      <c r="F52" s="34"/>
      <c r="G52" s="35"/>
      <c r="H52" s="35"/>
      <c r="I52" s="48">
        <f t="shared" si="0"/>
        <v>0</v>
      </c>
      <c r="J52" s="36"/>
      <c r="K52" s="36"/>
      <c r="L52" s="39" t="e">
        <f>VLOOKUP('Time Tracking'!$D52,Lists!O:P,2,FALSE)</f>
        <v>#N/A</v>
      </c>
      <c r="M52" s="51" t="e">
        <f>VLOOKUP(C52,Lists!$R$1:$S$15,2,FALSE)</f>
        <v>#N/A</v>
      </c>
      <c r="N52" s="37"/>
    </row>
    <row r="53" spans="1:14" s="24" customFormat="1" x14ac:dyDescent="0.25">
      <c r="A53" s="32"/>
      <c r="B53" s="33"/>
      <c r="C53" s="33"/>
      <c r="D53" s="33"/>
      <c r="E53" s="44" t="e">
        <f>VLOOKUP(A53,Lists!$U$1:$V$121,2,FALSE)</f>
        <v>#N/A</v>
      </c>
      <c r="F53" s="34"/>
      <c r="G53" s="35"/>
      <c r="H53" s="35"/>
      <c r="I53" s="48">
        <f t="shared" si="0"/>
        <v>0</v>
      </c>
      <c r="J53" s="36"/>
      <c r="K53" s="36"/>
      <c r="L53" s="39" t="e">
        <f>VLOOKUP('Time Tracking'!$D53,Lists!O:P,2,FALSE)</f>
        <v>#N/A</v>
      </c>
      <c r="M53" s="51" t="e">
        <f>VLOOKUP(C53,Lists!$R$1:$S$15,2,FALSE)</f>
        <v>#N/A</v>
      </c>
      <c r="N53" s="37"/>
    </row>
    <row r="54" spans="1:14" s="24" customFormat="1" x14ac:dyDescent="0.25">
      <c r="A54" s="32"/>
      <c r="B54" s="33"/>
      <c r="C54" s="33"/>
      <c r="D54" s="33"/>
      <c r="E54" s="44" t="e">
        <f>VLOOKUP(A54,Lists!$U$1:$V$121,2,FALSE)</f>
        <v>#N/A</v>
      </c>
      <c r="F54" s="34"/>
      <c r="G54" s="35"/>
      <c r="H54" s="35"/>
      <c r="I54" s="48">
        <f t="shared" si="0"/>
        <v>0</v>
      </c>
      <c r="J54" s="36"/>
      <c r="K54" s="36"/>
      <c r="L54" s="39" t="e">
        <f>VLOOKUP('Time Tracking'!$D54,Lists!O:P,2,FALSE)</f>
        <v>#N/A</v>
      </c>
      <c r="M54" s="51" t="e">
        <f>VLOOKUP(C54,Lists!$R$1:$S$15,2,FALSE)</f>
        <v>#N/A</v>
      </c>
      <c r="N54" s="37"/>
    </row>
    <row r="55" spans="1:14" s="24" customFormat="1" x14ac:dyDescent="0.25">
      <c r="A55" s="32"/>
      <c r="B55" s="33"/>
      <c r="C55" s="33"/>
      <c r="D55" s="33"/>
      <c r="E55" s="44" t="e">
        <f>VLOOKUP(A55,Lists!$U$1:$V$121,2,FALSE)</f>
        <v>#N/A</v>
      </c>
      <c r="F55" s="34"/>
      <c r="G55" s="35"/>
      <c r="H55" s="35"/>
      <c r="I55" s="48">
        <f t="shared" si="0"/>
        <v>0</v>
      </c>
      <c r="J55" s="36"/>
      <c r="K55" s="36"/>
      <c r="L55" s="39" t="e">
        <f>VLOOKUP('Time Tracking'!$D55,Lists!O:P,2,FALSE)</f>
        <v>#N/A</v>
      </c>
      <c r="M55" s="51" t="e">
        <f>VLOOKUP(C55,Lists!$R$1:$S$15,2,FALSE)</f>
        <v>#N/A</v>
      </c>
      <c r="N55" s="37"/>
    </row>
    <row r="56" spans="1:14" s="24" customFormat="1" x14ac:dyDescent="0.25">
      <c r="A56" s="32"/>
      <c r="B56" s="33"/>
      <c r="C56" s="33"/>
      <c r="D56" s="33"/>
      <c r="E56" s="44" t="e">
        <f>VLOOKUP(A56,Lists!$U$1:$V$121,2,FALSE)</f>
        <v>#N/A</v>
      </c>
      <c r="F56" s="34"/>
      <c r="G56" s="35"/>
      <c r="H56" s="35"/>
      <c r="I56" s="48">
        <f t="shared" si="0"/>
        <v>0</v>
      </c>
      <c r="J56" s="36"/>
      <c r="K56" s="36"/>
      <c r="L56" s="39" t="e">
        <f>VLOOKUP('Time Tracking'!$D56,Lists!O:P,2,FALSE)</f>
        <v>#N/A</v>
      </c>
      <c r="M56" s="51" t="e">
        <f>VLOOKUP(C56,Lists!$R$1:$S$15,2,FALSE)</f>
        <v>#N/A</v>
      </c>
      <c r="N56" s="37"/>
    </row>
    <row r="57" spans="1:14" s="24" customFormat="1" x14ac:dyDescent="0.25">
      <c r="A57" s="32"/>
      <c r="B57" s="33"/>
      <c r="C57" s="33"/>
      <c r="D57" s="33"/>
      <c r="E57" s="44" t="e">
        <f>VLOOKUP(A57,Lists!$U$1:$V$121,2,FALSE)</f>
        <v>#N/A</v>
      </c>
      <c r="F57" s="34"/>
      <c r="G57" s="35"/>
      <c r="H57" s="35"/>
      <c r="I57" s="48">
        <f t="shared" si="0"/>
        <v>0</v>
      </c>
      <c r="J57" s="36"/>
      <c r="K57" s="36"/>
      <c r="L57" s="39" t="e">
        <f>VLOOKUP('Time Tracking'!$D57,Lists!O:P,2,FALSE)</f>
        <v>#N/A</v>
      </c>
      <c r="M57" s="51" t="e">
        <f>VLOOKUP(C57,Lists!$R$1:$S$15,2,FALSE)</f>
        <v>#N/A</v>
      </c>
      <c r="N57" s="37"/>
    </row>
    <row r="58" spans="1:14" s="24" customFormat="1" x14ac:dyDescent="0.25">
      <c r="A58" s="32"/>
      <c r="B58" s="33"/>
      <c r="C58" s="33"/>
      <c r="D58" s="33"/>
      <c r="E58" s="44" t="e">
        <f>VLOOKUP(A58,Lists!$U$1:$V$121,2,FALSE)</f>
        <v>#N/A</v>
      </c>
      <c r="F58" s="34"/>
      <c r="G58" s="35"/>
      <c r="H58" s="35"/>
      <c r="I58" s="48">
        <f t="shared" si="0"/>
        <v>0</v>
      </c>
      <c r="J58" s="36"/>
      <c r="K58" s="36"/>
      <c r="L58" s="39" t="e">
        <f>VLOOKUP('Time Tracking'!$D58,Lists!O:P,2,FALSE)</f>
        <v>#N/A</v>
      </c>
      <c r="M58" s="51" t="e">
        <f>VLOOKUP(C58,Lists!$R$1:$S$15,2,FALSE)</f>
        <v>#N/A</v>
      </c>
      <c r="N58" s="37"/>
    </row>
    <row r="59" spans="1:14" s="24" customFormat="1" x14ac:dyDescent="0.25">
      <c r="A59" s="32"/>
      <c r="B59" s="33"/>
      <c r="C59" s="33"/>
      <c r="D59" s="33"/>
      <c r="E59" s="44" t="e">
        <f>VLOOKUP(A59,Lists!$U$1:$V$121,2,FALSE)</f>
        <v>#N/A</v>
      </c>
      <c r="F59" s="34"/>
      <c r="G59" s="35"/>
      <c r="H59" s="35"/>
      <c r="I59" s="48">
        <f t="shared" si="0"/>
        <v>0</v>
      </c>
      <c r="J59" s="36"/>
      <c r="K59" s="36"/>
      <c r="L59" s="39" t="e">
        <f>VLOOKUP('Time Tracking'!$D59,Lists!O:P,2,FALSE)</f>
        <v>#N/A</v>
      </c>
      <c r="M59" s="51" t="e">
        <f>VLOOKUP(C59,Lists!$R$1:$S$15,2,FALSE)</f>
        <v>#N/A</v>
      </c>
      <c r="N59" s="37"/>
    </row>
    <row r="60" spans="1:14" s="24" customFormat="1" x14ac:dyDescent="0.25">
      <c r="A60" s="32"/>
      <c r="B60" s="33"/>
      <c r="C60" s="33"/>
      <c r="D60" s="33"/>
      <c r="E60" s="44" t="e">
        <f>VLOOKUP(A60,Lists!$U$1:$V$121,2,FALSE)</f>
        <v>#N/A</v>
      </c>
      <c r="F60" s="34"/>
      <c r="G60" s="35"/>
      <c r="H60" s="35"/>
      <c r="I60" s="48">
        <f t="shared" si="0"/>
        <v>0</v>
      </c>
      <c r="J60" s="36"/>
      <c r="K60" s="36"/>
      <c r="L60" s="39" t="e">
        <f>VLOOKUP('Time Tracking'!$D60,Lists!O:P,2,FALSE)</f>
        <v>#N/A</v>
      </c>
      <c r="M60" s="51" t="e">
        <f>VLOOKUP(C60,Lists!$R$1:$S$15,2,FALSE)</f>
        <v>#N/A</v>
      </c>
      <c r="N60" s="37"/>
    </row>
    <row r="61" spans="1:14" s="24" customFormat="1" x14ac:dyDescent="0.25">
      <c r="A61" s="32"/>
      <c r="B61" s="33"/>
      <c r="C61" s="33"/>
      <c r="D61" s="33"/>
      <c r="E61" s="44" t="e">
        <f>VLOOKUP(A61,Lists!$U$1:$V$121,2,FALSE)</f>
        <v>#N/A</v>
      </c>
      <c r="F61" s="34"/>
      <c r="G61" s="35"/>
      <c r="H61" s="35"/>
      <c r="I61" s="48">
        <f t="shared" si="0"/>
        <v>0</v>
      </c>
      <c r="J61" s="36"/>
      <c r="K61" s="36"/>
      <c r="L61" s="39" t="e">
        <f>VLOOKUP('Time Tracking'!$D61,Lists!O:P,2,FALSE)</f>
        <v>#N/A</v>
      </c>
      <c r="M61" s="51" t="e">
        <f>VLOOKUP(C61,Lists!$R$1:$S$15,2,FALSE)</f>
        <v>#N/A</v>
      </c>
      <c r="N61" s="37"/>
    </row>
    <row r="62" spans="1:14" s="24" customFormat="1" x14ac:dyDescent="0.25">
      <c r="A62" s="32"/>
      <c r="B62" s="33"/>
      <c r="C62" s="33"/>
      <c r="D62" s="33"/>
      <c r="E62" s="44" t="e">
        <f>VLOOKUP(A62,Lists!$U$1:$V$121,2,FALSE)</f>
        <v>#N/A</v>
      </c>
      <c r="F62" s="34"/>
      <c r="G62" s="35"/>
      <c r="H62" s="35"/>
      <c r="I62" s="48">
        <f t="shared" si="0"/>
        <v>0</v>
      </c>
      <c r="J62" s="36"/>
      <c r="K62" s="36"/>
      <c r="L62" s="39" t="e">
        <f>VLOOKUP('Time Tracking'!$D62,Lists!O:P,2,FALSE)</f>
        <v>#N/A</v>
      </c>
      <c r="M62" s="51" t="e">
        <f>VLOOKUP(C62,Lists!$R$1:$S$15,2,FALSE)</f>
        <v>#N/A</v>
      </c>
      <c r="N62" s="37"/>
    </row>
    <row r="63" spans="1:14" s="24" customFormat="1" x14ac:dyDescent="0.25">
      <c r="A63" s="32"/>
      <c r="B63" s="33"/>
      <c r="C63" s="33"/>
      <c r="D63" s="33"/>
      <c r="E63" s="44" t="e">
        <f>VLOOKUP(A63,Lists!$U$1:$V$121,2,FALSE)</f>
        <v>#N/A</v>
      </c>
      <c r="F63" s="34"/>
      <c r="G63" s="35"/>
      <c r="H63" s="35"/>
      <c r="I63" s="48">
        <f t="shared" si="0"/>
        <v>0</v>
      </c>
      <c r="J63" s="36"/>
      <c r="K63" s="36"/>
      <c r="L63" s="39" t="e">
        <f>VLOOKUP('Time Tracking'!$D63,Lists!O:P,2,FALSE)</f>
        <v>#N/A</v>
      </c>
      <c r="M63" s="51" t="e">
        <f>VLOOKUP(C63,Lists!$R$1:$S$15,2,FALSE)</f>
        <v>#N/A</v>
      </c>
      <c r="N63" s="37"/>
    </row>
    <row r="64" spans="1:14" s="24" customFormat="1" x14ac:dyDescent="0.25">
      <c r="A64" s="32"/>
      <c r="B64" s="33"/>
      <c r="C64" s="33"/>
      <c r="D64" s="33"/>
      <c r="E64" s="44" t="e">
        <f>VLOOKUP(A64,Lists!$U$1:$V$121,2,FALSE)</f>
        <v>#N/A</v>
      </c>
      <c r="F64" s="34"/>
      <c r="G64" s="35"/>
      <c r="H64" s="35"/>
      <c r="I64" s="48">
        <f t="shared" si="0"/>
        <v>0</v>
      </c>
      <c r="J64" s="36"/>
      <c r="K64" s="36"/>
      <c r="L64" s="39" t="e">
        <f>VLOOKUP('Time Tracking'!$D64,Lists!O:P,2,FALSE)</f>
        <v>#N/A</v>
      </c>
      <c r="M64" s="51" t="e">
        <f>VLOOKUP(C64,Lists!$R$1:$S$15,2,FALSE)</f>
        <v>#N/A</v>
      </c>
      <c r="N64" s="37"/>
    </row>
    <row r="65" spans="1:14" s="24" customFormat="1" x14ac:dyDescent="0.25">
      <c r="A65" s="32"/>
      <c r="B65" s="33"/>
      <c r="C65" s="33"/>
      <c r="D65" s="33"/>
      <c r="E65" s="44" t="e">
        <f>VLOOKUP(A65,Lists!$U$1:$V$121,2,FALSE)</f>
        <v>#N/A</v>
      </c>
      <c r="F65" s="34"/>
      <c r="G65" s="35"/>
      <c r="H65" s="35"/>
      <c r="I65" s="48">
        <f t="shared" si="0"/>
        <v>0</v>
      </c>
      <c r="J65" s="36"/>
      <c r="K65" s="36"/>
      <c r="L65" s="39" t="e">
        <f>VLOOKUP('Time Tracking'!$D65,Lists!O:P,2,FALSE)</f>
        <v>#N/A</v>
      </c>
      <c r="M65" s="51" t="e">
        <f>VLOOKUP(C65,Lists!$R$1:$S$15,2,FALSE)</f>
        <v>#N/A</v>
      </c>
      <c r="N65" s="37"/>
    </row>
    <row r="66" spans="1:14" s="24" customFormat="1" x14ac:dyDescent="0.25">
      <c r="A66" s="32"/>
      <c r="B66" s="33"/>
      <c r="C66" s="33"/>
      <c r="D66" s="33"/>
      <c r="E66" s="44" t="e">
        <f>VLOOKUP(A66,Lists!$U$1:$V$121,2,FALSE)</f>
        <v>#N/A</v>
      </c>
      <c r="F66" s="34"/>
      <c r="G66" s="35"/>
      <c r="H66" s="35"/>
      <c r="I66" s="48">
        <f t="shared" ref="I66:I129" si="1">(IFERROR(TEXT(H66-G66,"h:mm"),"0:00"))*24</f>
        <v>0</v>
      </c>
      <c r="J66" s="36"/>
      <c r="K66" s="36"/>
      <c r="L66" s="39" t="e">
        <f>VLOOKUP('Time Tracking'!$D66,Lists!O:P,2,FALSE)</f>
        <v>#N/A</v>
      </c>
      <c r="M66" s="51" t="e">
        <f>VLOOKUP(C66,Lists!$R$1:$S$15,2,FALSE)</f>
        <v>#N/A</v>
      </c>
      <c r="N66" s="37"/>
    </row>
    <row r="67" spans="1:14" s="24" customFormat="1" x14ac:dyDescent="0.25">
      <c r="A67" s="32"/>
      <c r="B67" s="33"/>
      <c r="C67" s="33"/>
      <c r="D67" s="33"/>
      <c r="E67" s="44" t="e">
        <f>VLOOKUP(A67,Lists!$U$1:$V$121,2,FALSE)</f>
        <v>#N/A</v>
      </c>
      <c r="F67" s="34"/>
      <c r="G67" s="35"/>
      <c r="H67" s="35"/>
      <c r="I67" s="48">
        <f t="shared" si="1"/>
        <v>0</v>
      </c>
      <c r="J67" s="36"/>
      <c r="K67" s="36"/>
      <c r="L67" s="39" t="e">
        <f>VLOOKUP('Time Tracking'!$D67,Lists!O:P,2,FALSE)</f>
        <v>#N/A</v>
      </c>
      <c r="M67" s="51" t="e">
        <f>VLOOKUP(C67,Lists!$R$1:$S$15,2,FALSE)</f>
        <v>#N/A</v>
      </c>
      <c r="N67" s="37"/>
    </row>
    <row r="68" spans="1:14" s="24" customFormat="1" x14ac:dyDescent="0.25">
      <c r="A68" s="32"/>
      <c r="B68" s="33"/>
      <c r="C68" s="33"/>
      <c r="D68" s="33"/>
      <c r="E68" s="44" t="e">
        <f>VLOOKUP(A68,Lists!$U$1:$V$121,2,FALSE)</f>
        <v>#N/A</v>
      </c>
      <c r="F68" s="34"/>
      <c r="G68" s="35"/>
      <c r="H68" s="35"/>
      <c r="I68" s="48">
        <f t="shared" si="1"/>
        <v>0</v>
      </c>
      <c r="J68" s="36"/>
      <c r="K68" s="36"/>
      <c r="L68" s="39" t="e">
        <f>VLOOKUP('Time Tracking'!$D68,Lists!O:P,2,FALSE)</f>
        <v>#N/A</v>
      </c>
      <c r="M68" s="51" t="e">
        <f>VLOOKUP(C68,Lists!$R$1:$S$15,2,FALSE)</f>
        <v>#N/A</v>
      </c>
      <c r="N68" s="37"/>
    </row>
    <row r="69" spans="1:14" s="24" customFormat="1" x14ac:dyDescent="0.25">
      <c r="A69" s="32"/>
      <c r="B69" s="33"/>
      <c r="C69" s="33"/>
      <c r="D69" s="33"/>
      <c r="E69" s="44" t="e">
        <f>VLOOKUP(A69,Lists!$U$1:$V$121,2,FALSE)</f>
        <v>#N/A</v>
      </c>
      <c r="F69" s="34"/>
      <c r="G69" s="35"/>
      <c r="H69" s="35"/>
      <c r="I69" s="48">
        <f t="shared" si="1"/>
        <v>0</v>
      </c>
      <c r="J69" s="36"/>
      <c r="K69" s="36"/>
      <c r="L69" s="39" t="e">
        <f>VLOOKUP('Time Tracking'!$D69,Lists!O:P,2,FALSE)</f>
        <v>#N/A</v>
      </c>
      <c r="M69" s="51" t="e">
        <f>VLOOKUP(C69,Lists!$R$1:$S$15,2,FALSE)</f>
        <v>#N/A</v>
      </c>
      <c r="N69" s="37"/>
    </row>
    <row r="70" spans="1:14" s="24" customFormat="1" x14ac:dyDescent="0.25">
      <c r="A70" s="32"/>
      <c r="B70" s="33"/>
      <c r="C70" s="33"/>
      <c r="D70" s="33"/>
      <c r="E70" s="44" t="e">
        <f>VLOOKUP(A70,Lists!$U$1:$V$121,2,FALSE)</f>
        <v>#N/A</v>
      </c>
      <c r="F70" s="34"/>
      <c r="G70" s="35"/>
      <c r="H70" s="35"/>
      <c r="I70" s="48">
        <f t="shared" si="1"/>
        <v>0</v>
      </c>
      <c r="J70" s="36"/>
      <c r="K70" s="36"/>
      <c r="L70" s="39" t="e">
        <f>VLOOKUP('Time Tracking'!$D70,Lists!O:P,2,FALSE)</f>
        <v>#N/A</v>
      </c>
      <c r="M70" s="51" t="e">
        <f>VLOOKUP(C70,Lists!$R$1:$S$15,2,FALSE)</f>
        <v>#N/A</v>
      </c>
      <c r="N70" s="37"/>
    </row>
    <row r="71" spans="1:14" s="24" customFormat="1" x14ac:dyDescent="0.25">
      <c r="A71" s="32"/>
      <c r="B71" s="33"/>
      <c r="C71" s="33"/>
      <c r="D71" s="33"/>
      <c r="E71" s="44" t="e">
        <f>VLOOKUP(A71,Lists!$U$1:$V$121,2,FALSE)</f>
        <v>#N/A</v>
      </c>
      <c r="F71" s="34"/>
      <c r="G71" s="35"/>
      <c r="H71" s="35"/>
      <c r="I71" s="48">
        <f t="shared" si="1"/>
        <v>0</v>
      </c>
      <c r="J71" s="36"/>
      <c r="K71" s="36"/>
      <c r="L71" s="39" t="e">
        <f>VLOOKUP('Time Tracking'!$D71,Lists!O:P,2,FALSE)</f>
        <v>#N/A</v>
      </c>
      <c r="M71" s="51" t="e">
        <f>VLOOKUP(C71,Lists!$R$1:$S$15,2,FALSE)</f>
        <v>#N/A</v>
      </c>
      <c r="N71" s="37"/>
    </row>
    <row r="72" spans="1:14" s="24" customFormat="1" x14ac:dyDescent="0.25">
      <c r="A72" s="32"/>
      <c r="B72" s="33"/>
      <c r="C72" s="33"/>
      <c r="D72" s="33"/>
      <c r="E72" s="44" t="e">
        <f>VLOOKUP(A72,Lists!$U$1:$V$121,2,FALSE)</f>
        <v>#N/A</v>
      </c>
      <c r="F72" s="34"/>
      <c r="G72" s="35"/>
      <c r="H72" s="35"/>
      <c r="I72" s="48">
        <f t="shared" si="1"/>
        <v>0</v>
      </c>
      <c r="J72" s="36"/>
      <c r="K72" s="36"/>
      <c r="L72" s="39" t="e">
        <f>VLOOKUP('Time Tracking'!$D72,Lists!O:P,2,FALSE)</f>
        <v>#N/A</v>
      </c>
      <c r="M72" s="51" t="e">
        <f>VLOOKUP(C72,Lists!$R$1:$S$15,2,FALSE)</f>
        <v>#N/A</v>
      </c>
      <c r="N72" s="37"/>
    </row>
    <row r="73" spans="1:14" s="24" customFormat="1" x14ac:dyDescent="0.25">
      <c r="A73" s="32"/>
      <c r="B73" s="33"/>
      <c r="C73" s="33"/>
      <c r="D73" s="33"/>
      <c r="E73" s="44" t="e">
        <f>VLOOKUP(A73,Lists!$U$1:$V$121,2,FALSE)</f>
        <v>#N/A</v>
      </c>
      <c r="F73" s="34"/>
      <c r="G73" s="35"/>
      <c r="H73" s="35"/>
      <c r="I73" s="48">
        <f t="shared" si="1"/>
        <v>0</v>
      </c>
      <c r="J73" s="36"/>
      <c r="K73" s="36"/>
      <c r="L73" s="39" t="e">
        <f>VLOOKUP('Time Tracking'!$D73,Lists!O:P,2,FALSE)</f>
        <v>#N/A</v>
      </c>
      <c r="M73" s="51" t="e">
        <f>VLOOKUP(C73,Lists!$R$1:$S$15,2,FALSE)</f>
        <v>#N/A</v>
      </c>
      <c r="N73" s="37"/>
    </row>
    <row r="74" spans="1:14" s="24" customFormat="1" x14ac:dyDescent="0.25">
      <c r="A74" s="32"/>
      <c r="B74" s="33"/>
      <c r="C74" s="33"/>
      <c r="D74" s="33"/>
      <c r="E74" s="44" t="e">
        <f>VLOOKUP(A74,Lists!$U$1:$V$121,2,FALSE)</f>
        <v>#N/A</v>
      </c>
      <c r="F74" s="34"/>
      <c r="G74" s="35"/>
      <c r="H74" s="35"/>
      <c r="I74" s="48">
        <f t="shared" si="1"/>
        <v>0</v>
      </c>
      <c r="J74" s="36"/>
      <c r="K74" s="36"/>
      <c r="L74" s="39" t="e">
        <f>VLOOKUP('Time Tracking'!$D74,Lists!O:P,2,FALSE)</f>
        <v>#N/A</v>
      </c>
      <c r="M74" s="51" t="e">
        <f>VLOOKUP(C74,Lists!$R$1:$S$15,2,FALSE)</f>
        <v>#N/A</v>
      </c>
      <c r="N74" s="37"/>
    </row>
    <row r="75" spans="1:14" s="24" customFormat="1" x14ac:dyDescent="0.25">
      <c r="A75" s="32"/>
      <c r="B75" s="33"/>
      <c r="C75" s="33"/>
      <c r="D75" s="33"/>
      <c r="E75" s="44" t="e">
        <f>VLOOKUP(A75,Lists!$U$1:$V$121,2,FALSE)</f>
        <v>#N/A</v>
      </c>
      <c r="F75" s="34"/>
      <c r="G75" s="35"/>
      <c r="H75" s="35"/>
      <c r="I75" s="48">
        <f t="shared" si="1"/>
        <v>0</v>
      </c>
      <c r="J75" s="36"/>
      <c r="K75" s="36"/>
      <c r="L75" s="39" t="e">
        <f>VLOOKUP('Time Tracking'!$D75,Lists!O:P,2,FALSE)</f>
        <v>#N/A</v>
      </c>
      <c r="M75" s="51" t="e">
        <f>VLOOKUP(C75,Lists!$R$1:$S$15,2,FALSE)</f>
        <v>#N/A</v>
      </c>
      <c r="N75" s="37"/>
    </row>
    <row r="76" spans="1:14" s="24" customFormat="1" x14ac:dyDescent="0.25">
      <c r="A76" s="32"/>
      <c r="B76" s="33"/>
      <c r="C76" s="33"/>
      <c r="D76" s="33"/>
      <c r="E76" s="44" t="e">
        <f>VLOOKUP(A76,Lists!$U$1:$V$121,2,FALSE)</f>
        <v>#N/A</v>
      </c>
      <c r="F76" s="34"/>
      <c r="G76" s="35"/>
      <c r="H76" s="35"/>
      <c r="I76" s="48">
        <f t="shared" si="1"/>
        <v>0</v>
      </c>
      <c r="J76" s="36"/>
      <c r="K76" s="36"/>
      <c r="L76" s="39" t="e">
        <f>VLOOKUP('Time Tracking'!$D76,Lists!O:P,2,FALSE)</f>
        <v>#N/A</v>
      </c>
      <c r="M76" s="51" t="e">
        <f>VLOOKUP(C76,Lists!$R$1:$S$15,2,FALSE)</f>
        <v>#N/A</v>
      </c>
      <c r="N76" s="37"/>
    </row>
    <row r="77" spans="1:14" s="24" customFormat="1" x14ac:dyDescent="0.25">
      <c r="A77" s="32"/>
      <c r="B77" s="33"/>
      <c r="C77" s="33"/>
      <c r="D77" s="33"/>
      <c r="E77" s="44" t="e">
        <f>VLOOKUP(A77,Lists!$U$1:$V$121,2,FALSE)</f>
        <v>#N/A</v>
      </c>
      <c r="F77" s="34"/>
      <c r="G77" s="35"/>
      <c r="H77" s="35"/>
      <c r="I77" s="48">
        <f t="shared" si="1"/>
        <v>0</v>
      </c>
      <c r="J77" s="36"/>
      <c r="K77" s="36"/>
      <c r="L77" s="39" t="e">
        <f>VLOOKUP('Time Tracking'!$D77,Lists!O:P,2,FALSE)</f>
        <v>#N/A</v>
      </c>
      <c r="M77" s="51" t="e">
        <f>VLOOKUP(C77,Lists!$R$1:$S$15,2,FALSE)</f>
        <v>#N/A</v>
      </c>
      <c r="N77" s="37"/>
    </row>
    <row r="78" spans="1:14" s="24" customFormat="1" x14ac:dyDescent="0.25">
      <c r="A78" s="32"/>
      <c r="B78" s="33"/>
      <c r="C78" s="33"/>
      <c r="D78" s="33"/>
      <c r="E78" s="44" t="e">
        <f>VLOOKUP(A78,Lists!$U$1:$V$121,2,FALSE)</f>
        <v>#N/A</v>
      </c>
      <c r="F78" s="34"/>
      <c r="G78" s="35"/>
      <c r="H78" s="35"/>
      <c r="I78" s="48">
        <f t="shared" si="1"/>
        <v>0</v>
      </c>
      <c r="J78" s="36"/>
      <c r="K78" s="36"/>
      <c r="L78" s="39" t="e">
        <f>VLOOKUP('Time Tracking'!$D78,Lists!O:P,2,FALSE)</f>
        <v>#N/A</v>
      </c>
      <c r="M78" s="51" t="e">
        <f>VLOOKUP(C78,Lists!$R$1:$S$15,2,FALSE)</f>
        <v>#N/A</v>
      </c>
      <c r="N78" s="37"/>
    </row>
    <row r="79" spans="1:14" s="24" customFormat="1" x14ac:dyDescent="0.25">
      <c r="A79" s="32"/>
      <c r="B79" s="33"/>
      <c r="C79" s="33"/>
      <c r="D79" s="33"/>
      <c r="E79" s="44" t="e">
        <f>VLOOKUP(A79,Lists!$U$1:$V$121,2,FALSE)</f>
        <v>#N/A</v>
      </c>
      <c r="F79" s="34"/>
      <c r="G79" s="35"/>
      <c r="H79" s="35"/>
      <c r="I79" s="48">
        <f t="shared" si="1"/>
        <v>0</v>
      </c>
      <c r="J79" s="36"/>
      <c r="K79" s="36"/>
      <c r="L79" s="39" t="e">
        <f>VLOOKUP('Time Tracking'!$D79,Lists!O:P,2,FALSE)</f>
        <v>#N/A</v>
      </c>
      <c r="M79" s="51" t="e">
        <f>VLOOKUP(C79,Lists!$R$1:$S$15,2,FALSE)</f>
        <v>#N/A</v>
      </c>
      <c r="N79" s="37"/>
    </row>
    <row r="80" spans="1:14" s="24" customFormat="1" x14ac:dyDescent="0.25">
      <c r="A80" s="32"/>
      <c r="B80" s="33"/>
      <c r="C80" s="33"/>
      <c r="D80" s="33"/>
      <c r="E80" s="44" t="e">
        <f>VLOOKUP(A80,Lists!$U$1:$V$121,2,FALSE)</f>
        <v>#N/A</v>
      </c>
      <c r="F80" s="34"/>
      <c r="G80" s="35"/>
      <c r="H80" s="35"/>
      <c r="I80" s="48">
        <f t="shared" si="1"/>
        <v>0</v>
      </c>
      <c r="J80" s="36"/>
      <c r="K80" s="36"/>
      <c r="L80" s="39" t="e">
        <f>VLOOKUP('Time Tracking'!$D80,Lists!O:P,2,FALSE)</f>
        <v>#N/A</v>
      </c>
      <c r="M80" s="51" t="e">
        <f>VLOOKUP(C80,Lists!$R$1:$S$15,2,FALSE)</f>
        <v>#N/A</v>
      </c>
      <c r="N80" s="37"/>
    </row>
    <row r="81" spans="1:14" s="24" customFormat="1" x14ac:dyDescent="0.25">
      <c r="A81" s="32"/>
      <c r="B81" s="33"/>
      <c r="C81" s="33"/>
      <c r="D81" s="33"/>
      <c r="E81" s="44" t="e">
        <f>VLOOKUP(A81,Lists!$U$1:$V$121,2,FALSE)</f>
        <v>#N/A</v>
      </c>
      <c r="F81" s="34"/>
      <c r="G81" s="35"/>
      <c r="H81" s="35"/>
      <c r="I81" s="48">
        <f t="shared" si="1"/>
        <v>0</v>
      </c>
      <c r="J81" s="36"/>
      <c r="K81" s="36"/>
      <c r="L81" s="39" t="e">
        <f>VLOOKUP('Time Tracking'!$D81,Lists!O:P,2,FALSE)</f>
        <v>#N/A</v>
      </c>
      <c r="M81" s="51" t="e">
        <f>VLOOKUP(C81,Lists!$R$1:$S$15,2,FALSE)</f>
        <v>#N/A</v>
      </c>
      <c r="N81" s="37"/>
    </row>
    <row r="82" spans="1:14" s="24" customFormat="1" x14ac:dyDescent="0.25">
      <c r="A82" s="32"/>
      <c r="B82" s="33"/>
      <c r="C82" s="33"/>
      <c r="D82" s="33"/>
      <c r="E82" s="44" t="e">
        <f>VLOOKUP(A82,Lists!$U$1:$V$121,2,FALSE)</f>
        <v>#N/A</v>
      </c>
      <c r="F82" s="34"/>
      <c r="G82" s="35"/>
      <c r="H82" s="35"/>
      <c r="I82" s="48">
        <f t="shared" si="1"/>
        <v>0</v>
      </c>
      <c r="J82" s="36"/>
      <c r="K82" s="36"/>
      <c r="L82" s="39" t="e">
        <f>VLOOKUP('Time Tracking'!$D82,Lists!O:P,2,FALSE)</f>
        <v>#N/A</v>
      </c>
      <c r="M82" s="51" t="e">
        <f>VLOOKUP(C82,Lists!$R$1:$S$15,2,FALSE)</f>
        <v>#N/A</v>
      </c>
      <c r="N82" s="37"/>
    </row>
    <row r="83" spans="1:14" s="24" customFormat="1" x14ac:dyDescent="0.25">
      <c r="A83" s="32"/>
      <c r="B83" s="33"/>
      <c r="C83" s="33"/>
      <c r="D83" s="33"/>
      <c r="E83" s="44" t="e">
        <f>VLOOKUP(A83,Lists!$U$1:$V$121,2,FALSE)</f>
        <v>#N/A</v>
      </c>
      <c r="F83" s="34"/>
      <c r="G83" s="35"/>
      <c r="H83" s="35"/>
      <c r="I83" s="48">
        <f t="shared" si="1"/>
        <v>0</v>
      </c>
      <c r="J83" s="36"/>
      <c r="K83" s="36"/>
      <c r="L83" s="39" t="e">
        <f>VLOOKUP('Time Tracking'!$D83,Lists!O:P,2,FALSE)</f>
        <v>#N/A</v>
      </c>
      <c r="M83" s="51" t="e">
        <f>VLOOKUP(C83,Lists!$R$1:$S$15,2,FALSE)</f>
        <v>#N/A</v>
      </c>
      <c r="N83" s="37"/>
    </row>
    <row r="84" spans="1:14" s="24" customFormat="1" x14ac:dyDescent="0.25">
      <c r="A84" s="32"/>
      <c r="B84" s="33"/>
      <c r="C84" s="33"/>
      <c r="D84" s="33"/>
      <c r="E84" s="44" t="e">
        <f>VLOOKUP(A84,Lists!$U$1:$V$121,2,FALSE)</f>
        <v>#N/A</v>
      </c>
      <c r="F84" s="34"/>
      <c r="G84" s="35"/>
      <c r="H84" s="35"/>
      <c r="I84" s="48">
        <f t="shared" si="1"/>
        <v>0</v>
      </c>
      <c r="J84" s="36"/>
      <c r="K84" s="36"/>
      <c r="L84" s="39" t="e">
        <f>VLOOKUP('Time Tracking'!$D84,Lists!O:P,2,FALSE)</f>
        <v>#N/A</v>
      </c>
      <c r="M84" s="51" t="e">
        <f>VLOOKUP(C84,Lists!$R$1:$S$15,2,FALSE)</f>
        <v>#N/A</v>
      </c>
      <c r="N84" s="37"/>
    </row>
    <row r="85" spans="1:14" s="24" customFormat="1" x14ac:dyDescent="0.25">
      <c r="A85" s="32"/>
      <c r="B85" s="33"/>
      <c r="C85" s="33"/>
      <c r="D85" s="33"/>
      <c r="E85" s="44" t="e">
        <f>VLOOKUP(A85,Lists!$U$1:$V$121,2,FALSE)</f>
        <v>#N/A</v>
      </c>
      <c r="F85" s="34"/>
      <c r="G85" s="35"/>
      <c r="H85" s="35"/>
      <c r="I85" s="48">
        <f t="shared" si="1"/>
        <v>0</v>
      </c>
      <c r="J85" s="36"/>
      <c r="K85" s="36"/>
      <c r="L85" s="39" t="e">
        <f>VLOOKUP('Time Tracking'!$D85,Lists!O:P,2,FALSE)</f>
        <v>#N/A</v>
      </c>
      <c r="M85" s="51" t="e">
        <f>VLOOKUP(C85,Lists!$R$1:$S$15,2,FALSE)</f>
        <v>#N/A</v>
      </c>
      <c r="N85" s="37"/>
    </row>
    <row r="86" spans="1:14" s="24" customFormat="1" x14ac:dyDescent="0.25">
      <c r="A86" s="32"/>
      <c r="B86" s="33"/>
      <c r="C86" s="33"/>
      <c r="D86" s="33"/>
      <c r="E86" s="44" t="e">
        <f>VLOOKUP(A86,Lists!$U$1:$V$121,2,FALSE)</f>
        <v>#N/A</v>
      </c>
      <c r="F86" s="34"/>
      <c r="G86" s="35"/>
      <c r="H86" s="35"/>
      <c r="I86" s="48">
        <f t="shared" si="1"/>
        <v>0</v>
      </c>
      <c r="J86" s="36"/>
      <c r="K86" s="36"/>
      <c r="L86" s="39" t="e">
        <f>VLOOKUP('Time Tracking'!$D86,Lists!O:P,2,FALSE)</f>
        <v>#N/A</v>
      </c>
      <c r="M86" s="51" t="e">
        <f>VLOOKUP(C86,Lists!$R$1:$S$15,2,FALSE)</f>
        <v>#N/A</v>
      </c>
      <c r="N86" s="37"/>
    </row>
    <row r="87" spans="1:14" s="24" customFormat="1" x14ac:dyDescent="0.25">
      <c r="A87" s="32"/>
      <c r="B87" s="33"/>
      <c r="C87" s="33"/>
      <c r="D87" s="33"/>
      <c r="E87" s="44" t="e">
        <f>VLOOKUP(A87,Lists!$U$1:$V$121,2,FALSE)</f>
        <v>#N/A</v>
      </c>
      <c r="F87" s="34"/>
      <c r="G87" s="35"/>
      <c r="H87" s="35"/>
      <c r="I87" s="48">
        <f t="shared" si="1"/>
        <v>0</v>
      </c>
      <c r="J87" s="36"/>
      <c r="K87" s="36"/>
      <c r="L87" s="39" t="e">
        <f>VLOOKUP('Time Tracking'!$D87,Lists!O:P,2,FALSE)</f>
        <v>#N/A</v>
      </c>
      <c r="M87" s="51" t="e">
        <f>VLOOKUP(C87,Lists!$R$1:$S$15,2,FALSE)</f>
        <v>#N/A</v>
      </c>
      <c r="N87" s="37"/>
    </row>
    <row r="88" spans="1:14" s="24" customFormat="1" x14ac:dyDescent="0.25">
      <c r="A88" s="32"/>
      <c r="B88" s="33"/>
      <c r="C88" s="33"/>
      <c r="D88" s="33"/>
      <c r="E88" s="44" t="e">
        <f>VLOOKUP(A88,Lists!$U$1:$V$121,2,FALSE)</f>
        <v>#N/A</v>
      </c>
      <c r="F88" s="34"/>
      <c r="G88" s="35"/>
      <c r="H88" s="35"/>
      <c r="I88" s="48">
        <f t="shared" si="1"/>
        <v>0</v>
      </c>
      <c r="J88" s="36"/>
      <c r="K88" s="36"/>
      <c r="L88" s="39" t="e">
        <f>VLOOKUP('Time Tracking'!$D88,Lists!O:P,2,FALSE)</f>
        <v>#N/A</v>
      </c>
      <c r="M88" s="51" t="e">
        <f>VLOOKUP(C88,Lists!$R$1:$S$15,2,FALSE)</f>
        <v>#N/A</v>
      </c>
      <c r="N88" s="37"/>
    </row>
    <row r="89" spans="1:14" s="24" customFormat="1" x14ac:dyDescent="0.25">
      <c r="A89" s="32"/>
      <c r="B89" s="33"/>
      <c r="C89" s="33"/>
      <c r="D89" s="33"/>
      <c r="E89" s="44" t="e">
        <f>VLOOKUP(A89,Lists!$U$1:$V$121,2,FALSE)</f>
        <v>#N/A</v>
      </c>
      <c r="F89" s="34"/>
      <c r="G89" s="35"/>
      <c r="H89" s="35"/>
      <c r="I89" s="48">
        <f t="shared" si="1"/>
        <v>0</v>
      </c>
      <c r="J89" s="36"/>
      <c r="K89" s="36"/>
      <c r="L89" s="39" t="e">
        <f>VLOOKUP('Time Tracking'!$D89,Lists!O:P,2,FALSE)</f>
        <v>#N/A</v>
      </c>
      <c r="M89" s="51" t="e">
        <f>VLOOKUP(C89,Lists!$R$1:$S$15,2,FALSE)</f>
        <v>#N/A</v>
      </c>
      <c r="N89" s="37"/>
    </row>
    <row r="90" spans="1:14" s="24" customFormat="1" x14ac:dyDescent="0.25">
      <c r="A90" s="32"/>
      <c r="B90" s="33"/>
      <c r="C90" s="33"/>
      <c r="D90" s="33"/>
      <c r="E90" s="44" t="e">
        <f>VLOOKUP(A90,Lists!$U$1:$V$121,2,FALSE)</f>
        <v>#N/A</v>
      </c>
      <c r="F90" s="34"/>
      <c r="G90" s="35"/>
      <c r="H90" s="35"/>
      <c r="I90" s="48">
        <f t="shared" si="1"/>
        <v>0</v>
      </c>
      <c r="J90" s="36"/>
      <c r="K90" s="36"/>
      <c r="L90" s="39" t="e">
        <f>VLOOKUP('Time Tracking'!$D90,Lists!O:P,2,FALSE)</f>
        <v>#N/A</v>
      </c>
      <c r="M90" s="51" t="e">
        <f>VLOOKUP(C90,Lists!$R$1:$S$15,2,FALSE)</f>
        <v>#N/A</v>
      </c>
      <c r="N90" s="37"/>
    </row>
    <row r="91" spans="1:14" s="24" customFormat="1" x14ac:dyDescent="0.25">
      <c r="A91" s="32"/>
      <c r="B91" s="33"/>
      <c r="C91" s="33"/>
      <c r="D91" s="33"/>
      <c r="E91" s="44" t="e">
        <f>VLOOKUP(A91,Lists!$U$1:$V$121,2,FALSE)</f>
        <v>#N/A</v>
      </c>
      <c r="F91" s="34"/>
      <c r="G91" s="35"/>
      <c r="H91" s="35"/>
      <c r="I91" s="48">
        <f t="shared" si="1"/>
        <v>0</v>
      </c>
      <c r="J91" s="36"/>
      <c r="K91" s="36"/>
      <c r="L91" s="39" t="e">
        <f>VLOOKUP('Time Tracking'!$D91,Lists!O:P,2,FALSE)</f>
        <v>#N/A</v>
      </c>
      <c r="M91" s="51" t="e">
        <f>VLOOKUP(C91,Lists!$R$1:$S$15,2,FALSE)</f>
        <v>#N/A</v>
      </c>
      <c r="N91" s="37"/>
    </row>
    <row r="92" spans="1:14" s="24" customFormat="1" x14ac:dyDescent="0.25">
      <c r="A92" s="32"/>
      <c r="B92" s="33"/>
      <c r="C92" s="33"/>
      <c r="D92" s="33"/>
      <c r="E92" s="44" t="e">
        <f>VLOOKUP(A92,Lists!$U$1:$V$121,2,FALSE)</f>
        <v>#N/A</v>
      </c>
      <c r="F92" s="34"/>
      <c r="G92" s="35"/>
      <c r="H92" s="35"/>
      <c r="I92" s="48">
        <f t="shared" si="1"/>
        <v>0</v>
      </c>
      <c r="J92" s="36"/>
      <c r="K92" s="36"/>
      <c r="L92" s="39" t="e">
        <f>VLOOKUP('Time Tracking'!$D92,Lists!O:P,2,FALSE)</f>
        <v>#N/A</v>
      </c>
      <c r="M92" s="51" t="e">
        <f>VLOOKUP(C92,Lists!$R$1:$S$15,2,FALSE)</f>
        <v>#N/A</v>
      </c>
      <c r="N92" s="37"/>
    </row>
    <row r="93" spans="1:14" s="24" customFormat="1" x14ac:dyDescent="0.25">
      <c r="A93" s="32"/>
      <c r="B93" s="33"/>
      <c r="C93" s="33"/>
      <c r="D93" s="33"/>
      <c r="E93" s="44" t="e">
        <f>VLOOKUP(A93,Lists!$U$1:$V$121,2,FALSE)</f>
        <v>#N/A</v>
      </c>
      <c r="F93" s="34"/>
      <c r="G93" s="35"/>
      <c r="H93" s="35"/>
      <c r="I93" s="48">
        <f t="shared" si="1"/>
        <v>0</v>
      </c>
      <c r="J93" s="36"/>
      <c r="K93" s="36"/>
      <c r="L93" s="39" t="e">
        <f>VLOOKUP('Time Tracking'!$D93,Lists!O:P,2,FALSE)</f>
        <v>#N/A</v>
      </c>
      <c r="M93" s="51" t="e">
        <f>VLOOKUP(C93,Lists!$R$1:$S$15,2,FALSE)</f>
        <v>#N/A</v>
      </c>
      <c r="N93" s="37"/>
    </row>
    <row r="94" spans="1:14" s="24" customFormat="1" x14ac:dyDescent="0.25">
      <c r="A94" s="32"/>
      <c r="B94" s="33"/>
      <c r="C94" s="33"/>
      <c r="D94" s="33"/>
      <c r="E94" s="44" t="e">
        <f>VLOOKUP(A94,Lists!$U$1:$V$121,2,FALSE)</f>
        <v>#N/A</v>
      </c>
      <c r="F94" s="34"/>
      <c r="G94" s="35"/>
      <c r="H94" s="35"/>
      <c r="I94" s="48">
        <f t="shared" si="1"/>
        <v>0</v>
      </c>
      <c r="J94" s="36"/>
      <c r="K94" s="36"/>
      <c r="L94" s="39" t="e">
        <f>VLOOKUP('Time Tracking'!$D94,Lists!O:P,2,FALSE)</f>
        <v>#N/A</v>
      </c>
      <c r="M94" s="51" t="e">
        <f>VLOOKUP(C94,Lists!$R$1:$S$15,2,FALSE)</f>
        <v>#N/A</v>
      </c>
      <c r="N94" s="37"/>
    </row>
    <row r="95" spans="1:14" s="24" customFormat="1" x14ac:dyDescent="0.25">
      <c r="A95" s="32"/>
      <c r="B95" s="33"/>
      <c r="C95" s="33"/>
      <c r="D95" s="33"/>
      <c r="E95" s="44" t="e">
        <f>VLOOKUP(A95,Lists!$U$1:$V$121,2,FALSE)</f>
        <v>#N/A</v>
      </c>
      <c r="F95" s="34"/>
      <c r="G95" s="35"/>
      <c r="H95" s="35"/>
      <c r="I95" s="48">
        <f t="shared" si="1"/>
        <v>0</v>
      </c>
      <c r="J95" s="36"/>
      <c r="K95" s="36"/>
      <c r="L95" s="39" t="e">
        <f>VLOOKUP('Time Tracking'!$D95,Lists!O:P,2,FALSE)</f>
        <v>#N/A</v>
      </c>
      <c r="M95" s="51" t="e">
        <f>VLOOKUP(C95,Lists!$R$1:$S$15,2,FALSE)</f>
        <v>#N/A</v>
      </c>
      <c r="N95" s="37"/>
    </row>
    <row r="96" spans="1:14" s="24" customFormat="1" x14ac:dyDescent="0.25">
      <c r="A96" s="32"/>
      <c r="B96" s="33"/>
      <c r="C96" s="33"/>
      <c r="D96" s="33"/>
      <c r="E96" s="44" t="e">
        <f>VLOOKUP(A96,Lists!$U$1:$V$121,2,FALSE)</f>
        <v>#N/A</v>
      </c>
      <c r="F96" s="34"/>
      <c r="G96" s="35"/>
      <c r="H96" s="35"/>
      <c r="I96" s="48">
        <f t="shared" si="1"/>
        <v>0</v>
      </c>
      <c r="J96" s="36"/>
      <c r="K96" s="36"/>
      <c r="L96" s="39" t="e">
        <f>VLOOKUP('Time Tracking'!$D96,Lists!O:P,2,FALSE)</f>
        <v>#N/A</v>
      </c>
      <c r="M96" s="51" t="e">
        <f>VLOOKUP(C96,Lists!$R$1:$S$15,2,FALSE)</f>
        <v>#N/A</v>
      </c>
      <c r="N96" s="37"/>
    </row>
    <row r="97" spans="1:14" s="24" customFormat="1" x14ac:dyDescent="0.25">
      <c r="A97" s="32"/>
      <c r="B97" s="33"/>
      <c r="C97" s="33"/>
      <c r="D97" s="33"/>
      <c r="E97" s="44" t="e">
        <f>VLOOKUP(A97,Lists!$U$1:$V$121,2,FALSE)</f>
        <v>#N/A</v>
      </c>
      <c r="F97" s="34"/>
      <c r="G97" s="35"/>
      <c r="H97" s="35"/>
      <c r="I97" s="48">
        <f t="shared" si="1"/>
        <v>0</v>
      </c>
      <c r="J97" s="36"/>
      <c r="K97" s="36"/>
      <c r="L97" s="39" t="e">
        <f>VLOOKUP('Time Tracking'!$D97,Lists!O:P,2,FALSE)</f>
        <v>#N/A</v>
      </c>
      <c r="M97" s="51" t="e">
        <f>VLOOKUP(C97,Lists!$R$1:$S$15,2,FALSE)</f>
        <v>#N/A</v>
      </c>
      <c r="N97" s="37"/>
    </row>
    <row r="98" spans="1:14" s="24" customFormat="1" x14ac:dyDescent="0.25">
      <c r="A98" s="32"/>
      <c r="B98" s="33"/>
      <c r="C98" s="33"/>
      <c r="D98" s="33"/>
      <c r="E98" s="44" t="e">
        <f>VLOOKUP(A98,Lists!$U$1:$V$121,2,FALSE)</f>
        <v>#N/A</v>
      </c>
      <c r="F98" s="34"/>
      <c r="G98" s="35"/>
      <c r="H98" s="35"/>
      <c r="I98" s="48">
        <f t="shared" si="1"/>
        <v>0</v>
      </c>
      <c r="J98" s="36"/>
      <c r="K98" s="36"/>
      <c r="L98" s="39" t="e">
        <f>VLOOKUP('Time Tracking'!$D98,Lists!O:P,2,FALSE)</f>
        <v>#N/A</v>
      </c>
      <c r="M98" s="51" t="e">
        <f>VLOOKUP(C98,Lists!$R$1:$S$15,2,FALSE)</f>
        <v>#N/A</v>
      </c>
      <c r="N98" s="37"/>
    </row>
    <row r="99" spans="1:14" s="24" customFormat="1" x14ac:dyDescent="0.25">
      <c r="A99" s="32"/>
      <c r="B99" s="33"/>
      <c r="C99" s="33"/>
      <c r="D99" s="33"/>
      <c r="E99" s="44" t="e">
        <f>VLOOKUP(A99,Lists!$U$1:$V$121,2,FALSE)</f>
        <v>#N/A</v>
      </c>
      <c r="F99" s="34"/>
      <c r="G99" s="35"/>
      <c r="H99" s="35"/>
      <c r="I99" s="48">
        <f t="shared" si="1"/>
        <v>0</v>
      </c>
      <c r="J99" s="36"/>
      <c r="K99" s="36"/>
      <c r="L99" s="39" t="e">
        <f>VLOOKUP('Time Tracking'!$D99,Lists!O:P,2,FALSE)</f>
        <v>#N/A</v>
      </c>
      <c r="M99" s="51" t="e">
        <f>VLOOKUP(C99,Lists!$R$1:$S$15,2,FALSE)</f>
        <v>#N/A</v>
      </c>
      <c r="N99" s="37"/>
    </row>
    <row r="100" spans="1:14" s="24" customFormat="1" x14ac:dyDescent="0.25">
      <c r="A100" s="32"/>
      <c r="B100" s="33"/>
      <c r="C100" s="33"/>
      <c r="D100" s="33"/>
      <c r="E100" s="44" t="e">
        <f>VLOOKUP(A100,Lists!$U$1:$V$121,2,FALSE)</f>
        <v>#N/A</v>
      </c>
      <c r="F100" s="34"/>
      <c r="G100" s="35"/>
      <c r="H100" s="35"/>
      <c r="I100" s="48">
        <f t="shared" si="1"/>
        <v>0</v>
      </c>
      <c r="J100" s="36"/>
      <c r="K100" s="36"/>
      <c r="L100" s="39" t="e">
        <f>VLOOKUP('Time Tracking'!$D100,Lists!O:P,2,FALSE)</f>
        <v>#N/A</v>
      </c>
      <c r="M100" s="51" t="e">
        <f>VLOOKUP(C100,Lists!$R$1:$S$15,2,FALSE)</f>
        <v>#N/A</v>
      </c>
      <c r="N100" s="37"/>
    </row>
    <row r="101" spans="1:14" s="24" customFormat="1" x14ac:dyDescent="0.25">
      <c r="A101" s="32"/>
      <c r="B101" s="33"/>
      <c r="C101" s="33"/>
      <c r="D101" s="33"/>
      <c r="E101" s="44" t="e">
        <f>VLOOKUP(A101,Lists!$U$1:$V$121,2,FALSE)</f>
        <v>#N/A</v>
      </c>
      <c r="F101" s="34"/>
      <c r="G101" s="35"/>
      <c r="H101" s="35"/>
      <c r="I101" s="48">
        <f t="shared" si="1"/>
        <v>0</v>
      </c>
      <c r="J101" s="36"/>
      <c r="K101" s="36"/>
      <c r="L101" s="39" t="e">
        <f>VLOOKUP('Time Tracking'!$D101,Lists!O:P,2,FALSE)</f>
        <v>#N/A</v>
      </c>
      <c r="M101" s="51" t="e">
        <f>VLOOKUP(C101,Lists!$R$1:$S$15,2,FALSE)</f>
        <v>#N/A</v>
      </c>
      <c r="N101" s="37"/>
    </row>
    <row r="102" spans="1:14" s="24" customFormat="1" x14ac:dyDescent="0.25">
      <c r="A102" s="32"/>
      <c r="B102" s="33"/>
      <c r="C102" s="33"/>
      <c r="D102" s="33"/>
      <c r="E102" s="44" t="e">
        <f>VLOOKUP(A102,Lists!$U$1:$V$121,2,FALSE)</f>
        <v>#N/A</v>
      </c>
      <c r="F102" s="34"/>
      <c r="G102" s="35"/>
      <c r="H102" s="35"/>
      <c r="I102" s="48">
        <f t="shared" si="1"/>
        <v>0</v>
      </c>
      <c r="J102" s="36"/>
      <c r="K102" s="36"/>
      <c r="L102" s="39" t="e">
        <f>VLOOKUP('Time Tracking'!$D102,Lists!O:P,2,FALSE)</f>
        <v>#N/A</v>
      </c>
      <c r="M102" s="51" t="e">
        <f>VLOOKUP(C102,Lists!$R$1:$S$15,2,FALSE)</f>
        <v>#N/A</v>
      </c>
      <c r="N102" s="37"/>
    </row>
    <row r="103" spans="1:14" s="24" customFormat="1" x14ac:dyDescent="0.25">
      <c r="A103" s="32"/>
      <c r="B103" s="33"/>
      <c r="C103" s="33"/>
      <c r="D103" s="33"/>
      <c r="E103" s="44" t="e">
        <f>VLOOKUP(A103,Lists!$U$1:$V$121,2,FALSE)</f>
        <v>#N/A</v>
      </c>
      <c r="F103" s="34"/>
      <c r="G103" s="35"/>
      <c r="H103" s="35"/>
      <c r="I103" s="48">
        <f t="shared" si="1"/>
        <v>0</v>
      </c>
      <c r="J103" s="36"/>
      <c r="K103" s="36"/>
      <c r="L103" s="39" t="e">
        <f>VLOOKUP('Time Tracking'!$D103,Lists!O:P,2,FALSE)</f>
        <v>#N/A</v>
      </c>
      <c r="M103" s="51" t="e">
        <f>VLOOKUP(C103,Lists!$R$1:$S$15,2,FALSE)</f>
        <v>#N/A</v>
      </c>
      <c r="N103" s="37"/>
    </row>
    <row r="104" spans="1:14" s="24" customFormat="1" x14ac:dyDescent="0.25">
      <c r="A104" s="32"/>
      <c r="B104" s="33"/>
      <c r="C104" s="33"/>
      <c r="D104" s="33"/>
      <c r="E104" s="44" t="e">
        <f>VLOOKUP(A104,Lists!$U$1:$V$121,2,FALSE)</f>
        <v>#N/A</v>
      </c>
      <c r="F104" s="34"/>
      <c r="G104" s="35"/>
      <c r="H104" s="35"/>
      <c r="I104" s="48">
        <f t="shared" si="1"/>
        <v>0</v>
      </c>
      <c r="J104" s="36"/>
      <c r="K104" s="36"/>
      <c r="L104" s="39" t="e">
        <f>VLOOKUP('Time Tracking'!$D104,Lists!O:P,2,FALSE)</f>
        <v>#N/A</v>
      </c>
      <c r="M104" s="51" t="e">
        <f>VLOOKUP(C104,Lists!$R$1:$S$15,2,FALSE)</f>
        <v>#N/A</v>
      </c>
      <c r="N104" s="37"/>
    </row>
    <row r="105" spans="1:14" s="24" customFormat="1" x14ac:dyDescent="0.25">
      <c r="A105" s="32"/>
      <c r="B105" s="33"/>
      <c r="C105" s="33"/>
      <c r="D105" s="33"/>
      <c r="E105" s="44" t="e">
        <f>VLOOKUP(A105,Lists!$U$1:$V$121,2,FALSE)</f>
        <v>#N/A</v>
      </c>
      <c r="F105" s="34"/>
      <c r="G105" s="35"/>
      <c r="H105" s="35"/>
      <c r="I105" s="48">
        <f t="shared" si="1"/>
        <v>0</v>
      </c>
      <c r="J105" s="36"/>
      <c r="K105" s="36"/>
      <c r="L105" s="39" t="e">
        <f>VLOOKUP('Time Tracking'!$D105,Lists!O:P,2,FALSE)</f>
        <v>#N/A</v>
      </c>
      <c r="M105" s="51" t="e">
        <f>VLOOKUP(C105,Lists!$R$1:$S$15,2,FALSE)</f>
        <v>#N/A</v>
      </c>
      <c r="N105" s="37"/>
    </row>
    <row r="106" spans="1:14" s="24" customFormat="1" x14ac:dyDescent="0.25">
      <c r="A106" s="32"/>
      <c r="B106" s="33"/>
      <c r="C106" s="33"/>
      <c r="D106" s="33"/>
      <c r="E106" s="44" t="e">
        <f>VLOOKUP(A106,Lists!$U$1:$V$121,2,FALSE)</f>
        <v>#N/A</v>
      </c>
      <c r="F106" s="34"/>
      <c r="G106" s="35"/>
      <c r="H106" s="35"/>
      <c r="I106" s="48">
        <f t="shared" si="1"/>
        <v>0</v>
      </c>
      <c r="J106" s="36"/>
      <c r="K106" s="36"/>
      <c r="L106" s="39" t="e">
        <f>VLOOKUP('Time Tracking'!$D106,Lists!O:P,2,FALSE)</f>
        <v>#N/A</v>
      </c>
      <c r="M106" s="51" t="e">
        <f>VLOOKUP(C106,Lists!$R$1:$S$15,2,FALSE)</f>
        <v>#N/A</v>
      </c>
      <c r="N106" s="37"/>
    </row>
    <row r="107" spans="1:14" s="24" customFormat="1" x14ac:dyDescent="0.25">
      <c r="A107" s="32"/>
      <c r="B107" s="33"/>
      <c r="C107" s="33"/>
      <c r="D107" s="33"/>
      <c r="E107" s="44" t="e">
        <f>VLOOKUP(A107,Lists!$U$1:$V$121,2,FALSE)</f>
        <v>#N/A</v>
      </c>
      <c r="F107" s="34"/>
      <c r="G107" s="35"/>
      <c r="H107" s="35"/>
      <c r="I107" s="48">
        <f t="shared" si="1"/>
        <v>0</v>
      </c>
      <c r="J107" s="36"/>
      <c r="K107" s="36"/>
      <c r="L107" s="39" t="e">
        <f>VLOOKUP('Time Tracking'!$D107,Lists!O:P,2,FALSE)</f>
        <v>#N/A</v>
      </c>
      <c r="M107" s="51" t="e">
        <f>VLOOKUP(C107,Lists!$R$1:$S$15,2,FALSE)</f>
        <v>#N/A</v>
      </c>
      <c r="N107" s="37"/>
    </row>
    <row r="108" spans="1:14" s="24" customFormat="1" x14ac:dyDescent="0.25">
      <c r="A108" s="32"/>
      <c r="B108" s="33"/>
      <c r="C108" s="33"/>
      <c r="D108" s="33"/>
      <c r="E108" s="44" t="e">
        <f>VLOOKUP(A108,Lists!$U$1:$V$121,2,FALSE)</f>
        <v>#N/A</v>
      </c>
      <c r="F108" s="34"/>
      <c r="G108" s="35"/>
      <c r="H108" s="35"/>
      <c r="I108" s="48">
        <f t="shared" si="1"/>
        <v>0</v>
      </c>
      <c r="J108" s="36"/>
      <c r="K108" s="36"/>
      <c r="L108" s="39" t="e">
        <f>VLOOKUP('Time Tracking'!$D108,Lists!O:P,2,FALSE)</f>
        <v>#N/A</v>
      </c>
      <c r="M108" s="51" t="e">
        <f>VLOOKUP(C108,Lists!$R$1:$S$15,2,FALSE)</f>
        <v>#N/A</v>
      </c>
      <c r="N108" s="37"/>
    </row>
    <row r="109" spans="1:14" s="24" customFormat="1" x14ac:dyDescent="0.25">
      <c r="A109" s="32"/>
      <c r="B109" s="33"/>
      <c r="C109" s="33"/>
      <c r="D109" s="33"/>
      <c r="E109" s="44" t="e">
        <f>VLOOKUP(A109,Lists!$U$1:$V$121,2,FALSE)</f>
        <v>#N/A</v>
      </c>
      <c r="F109" s="34"/>
      <c r="G109" s="35"/>
      <c r="H109" s="35"/>
      <c r="I109" s="48">
        <f t="shared" si="1"/>
        <v>0</v>
      </c>
      <c r="J109" s="36"/>
      <c r="K109" s="36"/>
      <c r="L109" s="39" t="e">
        <f>VLOOKUP('Time Tracking'!$D109,Lists!O:P,2,FALSE)</f>
        <v>#N/A</v>
      </c>
      <c r="M109" s="51" t="e">
        <f>VLOOKUP(C109,Lists!$R$1:$S$15,2,FALSE)</f>
        <v>#N/A</v>
      </c>
      <c r="N109" s="37"/>
    </row>
    <row r="110" spans="1:14" s="24" customFormat="1" x14ac:dyDescent="0.25">
      <c r="A110" s="32"/>
      <c r="B110" s="33"/>
      <c r="C110" s="33"/>
      <c r="D110" s="33"/>
      <c r="E110" s="44" t="e">
        <f>VLOOKUP(A110,Lists!$U$1:$V$121,2,FALSE)</f>
        <v>#N/A</v>
      </c>
      <c r="F110" s="34"/>
      <c r="G110" s="35"/>
      <c r="H110" s="35"/>
      <c r="I110" s="48">
        <f t="shared" si="1"/>
        <v>0</v>
      </c>
      <c r="J110" s="36"/>
      <c r="K110" s="36"/>
      <c r="L110" s="39" t="e">
        <f>VLOOKUP('Time Tracking'!$D110,Lists!O:P,2,FALSE)</f>
        <v>#N/A</v>
      </c>
      <c r="M110" s="51" t="e">
        <f>VLOOKUP(C110,Lists!$R$1:$S$15,2,FALSE)</f>
        <v>#N/A</v>
      </c>
      <c r="N110" s="37"/>
    </row>
    <row r="111" spans="1:14" s="24" customFormat="1" x14ac:dyDescent="0.25">
      <c r="A111" s="32"/>
      <c r="B111" s="33"/>
      <c r="C111" s="33"/>
      <c r="D111" s="33"/>
      <c r="E111" s="44" t="e">
        <f>VLOOKUP(A111,Lists!$U$1:$V$121,2,FALSE)</f>
        <v>#N/A</v>
      </c>
      <c r="F111" s="34"/>
      <c r="G111" s="35"/>
      <c r="H111" s="35"/>
      <c r="I111" s="48">
        <f t="shared" si="1"/>
        <v>0</v>
      </c>
      <c r="J111" s="36"/>
      <c r="K111" s="36"/>
      <c r="L111" s="39" t="e">
        <f>VLOOKUP('Time Tracking'!$D111,Lists!O:P,2,FALSE)</f>
        <v>#N/A</v>
      </c>
      <c r="M111" s="51" t="e">
        <f>VLOOKUP(C111,Lists!$R$1:$S$15,2,FALSE)</f>
        <v>#N/A</v>
      </c>
      <c r="N111" s="37"/>
    </row>
    <row r="112" spans="1:14" s="24" customFormat="1" x14ac:dyDescent="0.25">
      <c r="A112" s="32"/>
      <c r="B112" s="33"/>
      <c r="C112" s="33"/>
      <c r="D112" s="33"/>
      <c r="E112" s="44" t="e">
        <f>VLOOKUP(A112,Lists!$U$1:$V$121,2,FALSE)</f>
        <v>#N/A</v>
      </c>
      <c r="F112" s="34"/>
      <c r="G112" s="35"/>
      <c r="H112" s="35"/>
      <c r="I112" s="48">
        <f t="shared" si="1"/>
        <v>0</v>
      </c>
      <c r="J112" s="36"/>
      <c r="K112" s="36"/>
      <c r="L112" s="39" t="e">
        <f>VLOOKUP('Time Tracking'!$D112,Lists!O:P,2,FALSE)</f>
        <v>#N/A</v>
      </c>
      <c r="M112" s="51" t="e">
        <f>VLOOKUP(C112,Lists!$R$1:$S$15,2,FALSE)</f>
        <v>#N/A</v>
      </c>
      <c r="N112" s="37"/>
    </row>
    <row r="113" spans="1:14" s="24" customFormat="1" x14ac:dyDescent="0.25">
      <c r="A113" s="32"/>
      <c r="B113" s="33"/>
      <c r="C113" s="33"/>
      <c r="D113" s="33"/>
      <c r="E113" s="44" t="e">
        <f>VLOOKUP(A113,Lists!$U$1:$V$121,2,FALSE)</f>
        <v>#N/A</v>
      </c>
      <c r="F113" s="34"/>
      <c r="G113" s="35"/>
      <c r="H113" s="35"/>
      <c r="I113" s="48">
        <f t="shared" si="1"/>
        <v>0</v>
      </c>
      <c r="J113" s="36"/>
      <c r="K113" s="36"/>
      <c r="L113" s="39" t="e">
        <f>VLOOKUP('Time Tracking'!$D113,Lists!O:P,2,FALSE)</f>
        <v>#N/A</v>
      </c>
      <c r="M113" s="51" t="e">
        <f>VLOOKUP(C113,Lists!$R$1:$S$15,2,FALSE)</f>
        <v>#N/A</v>
      </c>
      <c r="N113" s="37"/>
    </row>
    <row r="114" spans="1:14" s="24" customFormat="1" x14ac:dyDescent="0.25">
      <c r="A114" s="32"/>
      <c r="B114" s="33"/>
      <c r="C114" s="33"/>
      <c r="D114" s="33"/>
      <c r="E114" s="44" t="e">
        <f>VLOOKUP(A114,Lists!$U$1:$V$121,2,FALSE)</f>
        <v>#N/A</v>
      </c>
      <c r="F114" s="34"/>
      <c r="G114" s="35"/>
      <c r="H114" s="35"/>
      <c r="I114" s="48">
        <f t="shared" si="1"/>
        <v>0</v>
      </c>
      <c r="J114" s="36"/>
      <c r="K114" s="36"/>
      <c r="L114" s="39" t="e">
        <f>VLOOKUP('Time Tracking'!$D114,Lists!O:P,2,FALSE)</f>
        <v>#N/A</v>
      </c>
      <c r="M114" s="51" t="e">
        <f>VLOOKUP(C114,Lists!$R$1:$S$15,2,FALSE)</f>
        <v>#N/A</v>
      </c>
      <c r="N114" s="37"/>
    </row>
    <row r="115" spans="1:14" s="24" customFormat="1" x14ac:dyDescent="0.25">
      <c r="A115" s="32"/>
      <c r="B115" s="33"/>
      <c r="C115" s="33"/>
      <c r="D115" s="33"/>
      <c r="E115" s="44" t="e">
        <f>VLOOKUP(A115,Lists!$U$1:$V$121,2,FALSE)</f>
        <v>#N/A</v>
      </c>
      <c r="F115" s="34"/>
      <c r="G115" s="35"/>
      <c r="H115" s="35"/>
      <c r="I115" s="48">
        <f t="shared" si="1"/>
        <v>0</v>
      </c>
      <c r="J115" s="36"/>
      <c r="K115" s="36"/>
      <c r="L115" s="39" t="e">
        <f>VLOOKUP('Time Tracking'!$D115,Lists!O:P,2,FALSE)</f>
        <v>#N/A</v>
      </c>
      <c r="M115" s="51" t="e">
        <f>VLOOKUP(C115,Lists!$R$1:$S$15,2,FALSE)</f>
        <v>#N/A</v>
      </c>
      <c r="N115" s="37"/>
    </row>
    <row r="116" spans="1:14" s="24" customFormat="1" x14ac:dyDescent="0.25">
      <c r="A116" s="32"/>
      <c r="B116" s="33"/>
      <c r="C116" s="33"/>
      <c r="D116" s="33"/>
      <c r="E116" s="44" t="e">
        <f>VLOOKUP(A116,Lists!$U$1:$V$121,2,FALSE)</f>
        <v>#N/A</v>
      </c>
      <c r="F116" s="34"/>
      <c r="G116" s="35"/>
      <c r="H116" s="35"/>
      <c r="I116" s="48">
        <f t="shared" si="1"/>
        <v>0</v>
      </c>
      <c r="J116" s="36"/>
      <c r="K116" s="36"/>
      <c r="L116" s="39" t="e">
        <f>VLOOKUP('Time Tracking'!$D116,Lists!O:P,2,FALSE)</f>
        <v>#N/A</v>
      </c>
      <c r="M116" s="51" t="e">
        <f>VLOOKUP(C116,Lists!$R$1:$S$15,2,FALSE)</f>
        <v>#N/A</v>
      </c>
      <c r="N116" s="37"/>
    </row>
    <row r="117" spans="1:14" s="24" customFormat="1" x14ac:dyDescent="0.25">
      <c r="A117" s="32"/>
      <c r="B117" s="33"/>
      <c r="C117" s="33"/>
      <c r="D117" s="33"/>
      <c r="E117" s="44" t="e">
        <f>VLOOKUP(A117,Lists!$U$1:$V$121,2,FALSE)</f>
        <v>#N/A</v>
      </c>
      <c r="F117" s="34"/>
      <c r="G117" s="35"/>
      <c r="H117" s="35"/>
      <c r="I117" s="48">
        <f t="shared" si="1"/>
        <v>0</v>
      </c>
      <c r="J117" s="36"/>
      <c r="K117" s="36"/>
      <c r="L117" s="39" t="e">
        <f>VLOOKUP('Time Tracking'!$D117,Lists!O:P,2,FALSE)</f>
        <v>#N/A</v>
      </c>
      <c r="M117" s="51" t="e">
        <f>VLOOKUP(C117,Lists!$R$1:$S$15,2,FALSE)</f>
        <v>#N/A</v>
      </c>
      <c r="N117" s="37"/>
    </row>
    <row r="118" spans="1:14" s="24" customFormat="1" x14ac:dyDescent="0.25">
      <c r="A118" s="32"/>
      <c r="B118" s="33"/>
      <c r="C118" s="33"/>
      <c r="D118" s="33"/>
      <c r="E118" s="44" t="e">
        <f>VLOOKUP(A118,Lists!$U$1:$V$121,2,FALSE)</f>
        <v>#N/A</v>
      </c>
      <c r="F118" s="34"/>
      <c r="G118" s="35"/>
      <c r="H118" s="35"/>
      <c r="I118" s="48">
        <f t="shared" si="1"/>
        <v>0</v>
      </c>
      <c r="J118" s="36"/>
      <c r="K118" s="36"/>
      <c r="L118" s="39" t="e">
        <f>VLOOKUP('Time Tracking'!$D118,Lists!O:P,2,FALSE)</f>
        <v>#N/A</v>
      </c>
      <c r="M118" s="51" t="e">
        <f>VLOOKUP(C118,Lists!$R$1:$S$15,2,FALSE)</f>
        <v>#N/A</v>
      </c>
      <c r="N118" s="37"/>
    </row>
    <row r="119" spans="1:14" s="24" customFormat="1" x14ac:dyDescent="0.25">
      <c r="A119" s="32"/>
      <c r="B119" s="33"/>
      <c r="C119" s="33"/>
      <c r="D119" s="33"/>
      <c r="E119" s="44" t="e">
        <f>VLOOKUP(A119,Lists!$U$1:$V$121,2,FALSE)</f>
        <v>#N/A</v>
      </c>
      <c r="F119" s="34"/>
      <c r="G119" s="35"/>
      <c r="H119" s="35"/>
      <c r="I119" s="48">
        <f t="shared" si="1"/>
        <v>0</v>
      </c>
      <c r="J119" s="36"/>
      <c r="K119" s="36"/>
      <c r="L119" s="39" t="e">
        <f>VLOOKUP('Time Tracking'!$D119,Lists!O:P,2,FALSE)</f>
        <v>#N/A</v>
      </c>
      <c r="M119" s="51" t="e">
        <f>VLOOKUP(C119,Lists!$R$1:$S$15,2,FALSE)</f>
        <v>#N/A</v>
      </c>
      <c r="N119" s="37"/>
    </row>
    <row r="120" spans="1:14" s="24" customFormat="1" x14ac:dyDescent="0.25">
      <c r="A120" s="32"/>
      <c r="B120" s="33"/>
      <c r="C120" s="33"/>
      <c r="D120" s="33"/>
      <c r="E120" s="44" t="e">
        <f>VLOOKUP(A120,Lists!$U$1:$V$121,2,FALSE)</f>
        <v>#N/A</v>
      </c>
      <c r="F120" s="34"/>
      <c r="G120" s="35"/>
      <c r="H120" s="35"/>
      <c r="I120" s="48">
        <f t="shared" si="1"/>
        <v>0</v>
      </c>
      <c r="J120" s="36"/>
      <c r="K120" s="36"/>
      <c r="L120" s="39" t="e">
        <f>VLOOKUP('Time Tracking'!$D120,Lists!O:P,2,FALSE)</f>
        <v>#N/A</v>
      </c>
      <c r="M120" s="51" t="e">
        <f>VLOOKUP(C120,Lists!$R$1:$S$15,2,FALSE)</f>
        <v>#N/A</v>
      </c>
      <c r="N120" s="37"/>
    </row>
    <row r="121" spans="1:14" s="24" customFormat="1" x14ac:dyDescent="0.25">
      <c r="A121" s="32"/>
      <c r="B121" s="33"/>
      <c r="C121" s="33"/>
      <c r="D121" s="33"/>
      <c r="E121" s="44" t="e">
        <f>VLOOKUP(A121,Lists!$U$1:$V$121,2,FALSE)</f>
        <v>#N/A</v>
      </c>
      <c r="F121" s="34"/>
      <c r="G121" s="35"/>
      <c r="H121" s="35"/>
      <c r="I121" s="48">
        <f t="shared" si="1"/>
        <v>0</v>
      </c>
      <c r="J121" s="36"/>
      <c r="K121" s="36"/>
      <c r="L121" s="39" t="e">
        <f>VLOOKUP('Time Tracking'!$D121,Lists!O:P,2,FALSE)</f>
        <v>#N/A</v>
      </c>
      <c r="M121" s="51" t="e">
        <f>VLOOKUP(C121,Lists!$R$1:$S$15,2,FALSE)</f>
        <v>#N/A</v>
      </c>
      <c r="N121" s="37"/>
    </row>
    <row r="122" spans="1:14" s="24" customFormat="1" x14ac:dyDescent="0.25">
      <c r="A122" s="32"/>
      <c r="B122" s="33"/>
      <c r="C122" s="33"/>
      <c r="D122" s="33"/>
      <c r="E122" s="44" t="e">
        <f>VLOOKUP(A122,Lists!$U$1:$V$121,2,FALSE)</f>
        <v>#N/A</v>
      </c>
      <c r="F122" s="34"/>
      <c r="G122" s="35"/>
      <c r="H122" s="35"/>
      <c r="I122" s="48">
        <f t="shared" si="1"/>
        <v>0</v>
      </c>
      <c r="J122" s="36"/>
      <c r="K122" s="36"/>
      <c r="L122" s="39" t="e">
        <f>VLOOKUP('Time Tracking'!$D122,Lists!O:P,2,FALSE)</f>
        <v>#N/A</v>
      </c>
      <c r="M122" s="51" t="e">
        <f>VLOOKUP(C122,Lists!$R$1:$S$15,2,FALSE)</f>
        <v>#N/A</v>
      </c>
      <c r="N122" s="37"/>
    </row>
    <row r="123" spans="1:14" s="24" customFormat="1" x14ac:dyDescent="0.25">
      <c r="A123" s="32"/>
      <c r="B123" s="33"/>
      <c r="C123" s="33"/>
      <c r="D123" s="33"/>
      <c r="E123" s="44" t="e">
        <f>VLOOKUP(A123,Lists!$U$1:$V$121,2,FALSE)</f>
        <v>#N/A</v>
      </c>
      <c r="F123" s="34"/>
      <c r="G123" s="35"/>
      <c r="H123" s="35"/>
      <c r="I123" s="48">
        <f t="shared" si="1"/>
        <v>0</v>
      </c>
      <c r="J123" s="36"/>
      <c r="K123" s="36"/>
      <c r="L123" s="39" t="e">
        <f>VLOOKUP('Time Tracking'!$D123,Lists!O:P,2,FALSE)</f>
        <v>#N/A</v>
      </c>
      <c r="M123" s="51" t="e">
        <f>VLOOKUP(C123,Lists!$R$1:$S$15,2,FALSE)</f>
        <v>#N/A</v>
      </c>
      <c r="N123" s="37"/>
    </row>
    <row r="124" spans="1:14" s="24" customFormat="1" x14ac:dyDescent="0.25">
      <c r="A124" s="32"/>
      <c r="B124" s="33"/>
      <c r="C124" s="33"/>
      <c r="D124" s="33"/>
      <c r="E124" s="44" t="e">
        <f>VLOOKUP(A124,Lists!$U$1:$V$121,2,FALSE)</f>
        <v>#N/A</v>
      </c>
      <c r="F124" s="34"/>
      <c r="G124" s="35"/>
      <c r="H124" s="35"/>
      <c r="I124" s="48">
        <f t="shared" si="1"/>
        <v>0</v>
      </c>
      <c r="J124" s="36"/>
      <c r="K124" s="36"/>
      <c r="L124" s="39" t="e">
        <f>VLOOKUP('Time Tracking'!$D124,Lists!O:P,2,FALSE)</f>
        <v>#N/A</v>
      </c>
      <c r="M124" s="51" t="e">
        <f>VLOOKUP(C124,Lists!$R$1:$S$15,2,FALSE)</f>
        <v>#N/A</v>
      </c>
      <c r="N124" s="37"/>
    </row>
    <row r="125" spans="1:14" s="24" customFormat="1" x14ac:dyDescent="0.25">
      <c r="A125" s="32"/>
      <c r="B125" s="33"/>
      <c r="C125" s="33"/>
      <c r="D125" s="33"/>
      <c r="E125" s="44" t="e">
        <f>VLOOKUP(A125,Lists!$U$1:$V$121,2,FALSE)</f>
        <v>#N/A</v>
      </c>
      <c r="F125" s="34"/>
      <c r="G125" s="35"/>
      <c r="H125" s="35"/>
      <c r="I125" s="48">
        <f t="shared" si="1"/>
        <v>0</v>
      </c>
      <c r="J125" s="36"/>
      <c r="K125" s="36"/>
      <c r="L125" s="39" t="e">
        <f>VLOOKUP('Time Tracking'!$D125,Lists!O:P,2,FALSE)</f>
        <v>#N/A</v>
      </c>
      <c r="M125" s="51" t="e">
        <f>VLOOKUP(C125,Lists!$R$1:$S$15,2,FALSE)</f>
        <v>#N/A</v>
      </c>
      <c r="N125" s="37"/>
    </row>
    <row r="126" spans="1:14" s="24" customFormat="1" x14ac:dyDescent="0.25">
      <c r="A126" s="32"/>
      <c r="B126" s="33"/>
      <c r="C126" s="33"/>
      <c r="D126" s="33"/>
      <c r="E126" s="44" t="e">
        <f>VLOOKUP(A126,Lists!$U$1:$V$121,2,FALSE)</f>
        <v>#N/A</v>
      </c>
      <c r="F126" s="34"/>
      <c r="G126" s="35"/>
      <c r="H126" s="35"/>
      <c r="I126" s="48">
        <f t="shared" si="1"/>
        <v>0</v>
      </c>
      <c r="J126" s="36"/>
      <c r="K126" s="36"/>
      <c r="L126" s="39" t="e">
        <f>VLOOKUP('Time Tracking'!$D126,Lists!O:P,2,FALSE)</f>
        <v>#N/A</v>
      </c>
      <c r="M126" s="51" t="e">
        <f>VLOOKUP(C126,Lists!$R$1:$S$15,2,FALSE)</f>
        <v>#N/A</v>
      </c>
      <c r="N126" s="37"/>
    </row>
    <row r="127" spans="1:14" s="24" customFormat="1" x14ac:dyDescent="0.25">
      <c r="A127" s="32"/>
      <c r="B127" s="33"/>
      <c r="C127" s="33"/>
      <c r="D127" s="33"/>
      <c r="E127" s="44" t="e">
        <f>VLOOKUP(A127,Lists!$U$1:$V$121,2,FALSE)</f>
        <v>#N/A</v>
      </c>
      <c r="F127" s="34"/>
      <c r="G127" s="35"/>
      <c r="H127" s="35"/>
      <c r="I127" s="48">
        <f t="shared" si="1"/>
        <v>0</v>
      </c>
      <c r="J127" s="36"/>
      <c r="K127" s="36"/>
      <c r="L127" s="39" t="e">
        <f>VLOOKUP('Time Tracking'!$D127,Lists!O:P,2,FALSE)</f>
        <v>#N/A</v>
      </c>
      <c r="M127" s="51" t="e">
        <f>VLOOKUP(C127,Lists!$R$1:$S$15,2,FALSE)</f>
        <v>#N/A</v>
      </c>
      <c r="N127" s="37"/>
    </row>
    <row r="128" spans="1:14" s="24" customFormat="1" x14ac:dyDescent="0.25">
      <c r="A128" s="32"/>
      <c r="B128" s="33"/>
      <c r="C128" s="33"/>
      <c r="D128" s="33"/>
      <c r="E128" s="44" t="e">
        <f>VLOOKUP(A128,Lists!$U$1:$V$121,2,FALSE)</f>
        <v>#N/A</v>
      </c>
      <c r="F128" s="34"/>
      <c r="G128" s="35"/>
      <c r="H128" s="35"/>
      <c r="I128" s="48">
        <f t="shared" si="1"/>
        <v>0</v>
      </c>
      <c r="J128" s="36"/>
      <c r="K128" s="36"/>
      <c r="L128" s="39" t="e">
        <f>VLOOKUP('Time Tracking'!$D128,Lists!O:P,2,FALSE)</f>
        <v>#N/A</v>
      </c>
      <c r="M128" s="51" t="e">
        <f>VLOOKUP(C128,Lists!$R$1:$S$15,2,FALSE)</f>
        <v>#N/A</v>
      </c>
      <c r="N128" s="37"/>
    </row>
    <row r="129" spans="1:14" s="24" customFormat="1" x14ac:dyDescent="0.25">
      <c r="A129" s="32"/>
      <c r="B129" s="33"/>
      <c r="C129" s="33"/>
      <c r="D129" s="33"/>
      <c r="E129" s="44" t="e">
        <f>VLOOKUP(A129,Lists!$U$1:$V$121,2,FALSE)</f>
        <v>#N/A</v>
      </c>
      <c r="F129" s="34"/>
      <c r="G129" s="35"/>
      <c r="H129" s="35"/>
      <c r="I129" s="48">
        <f t="shared" si="1"/>
        <v>0</v>
      </c>
      <c r="J129" s="36"/>
      <c r="K129" s="36"/>
      <c r="L129" s="39" t="e">
        <f>VLOOKUP('Time Tracking'!$D129,Lists!O:P,2,FALSE)</f>
        <v>#N/A</v>
      </c>
      <c r="M129" s="51" t="e">
        <f>VLOOKUP(C129,Lists!$R$1:$S$15,2,FALSE)</f>
        <v>#N/A</v>
      </c>
      <c r="N129" s="37"/>
    </row>
    <row r="130" spans="1:14" s="24" customFormat="1" x14ac:dyDescent="0.25">
      <c r="A130" s="32"/>
      <c r="B130" s="33"/>
      <c r="C130" s="33"/>
      <c r="D130" s="33"/>
      <c r="E130" s="44" t="e">
        <f>VLOOKUP(A130,Lists!$U$1:$V$121,2,FALSE)</f>
        <v>#N/A</v>
      </c>
      <c r="F130" s="34"/>
      <c r="G130" s="35"/>
      <c r="H130" s="35"/>
      <c r="I130" s="48">
        <f t="shared" ref="I130:I193" si="2">(IFERROR(TEXT(H130-G130,"h:mm"),"0:00"))*24</f>
        <v>0</v>
      </c>
      <c r="J130" s="36"/>
      <c r="K130" s="36"/>
      <c r="L130" s="39" t="e">
        <f>VLOOKUP('Time Tracking'!$D130,Lists!O:P,2,FALSE)</f>
        <v>#N/A</v>
      </c>
      <c r="M130" s="51" t="e">
        <f>VLOOKUP(C130,Lists!$R$1:$S$15,2,FALSE)</f>
        <v>#N/A</v>
      </c>
      <c r="N130" s="37"/>
    </row>
    <row r="131" spans="1:14" s="24" customFormat="1" x14ac:dyDescent="0.25">
      <c r="A131" s="32"/>
      <c r="B131" s="33"/>
      <c r="C131" s="33"/>
      <c r="D131" s="33"/>
      <c r="E131" s="44" t="e">
        <f>VLOOKUP(A131,Lists!$U$1:$V$121,2,FALSE)</f>
        <v>#N/A</v>
      </c>
      <c r="F131" s="34"/>
      <c r="G131" s="35"/>
      <c r="H131" s="35"/>
      <c r="I131" s="48">
        <f t="shared" si="2"/>
        <v>0</v>
      </c>
      <c r="J131" s="36"/>
      <c r="K131" s="36"/>
      <c r="L131" s="39" t="e">
        <f>VLOOKUP('Time Tracking'!$D131,Lists!O:P,2,FALSE)</f>
        <v>#N/A</v>
      </c>
      <c r="M131" s="51" t="e">
        <f>VLOOKUP(C131,Lists!$R$1:$S$15,2,FALSE)</f>
        <v>#N/A</v>
      </c>
      <c r="N131" s="37"/>
    </row>
    <row r="132" spans="1:14" s="24" customFormat="1" x14ac:dyDescent="0.25">
      <c r="A132" s="32"/>
      <c r="B132" s="33"/>
      <c r="C132" s="33"/>
      <c r="D132" s="33"/>
      <c r="E132" s="44" t="e">
        <f>VLOOKUP(A132,Lists!$U$1:$V$121,2,FALSE)</f>
        <v>#N/A</v>
      </c>
      <c r="F132" s="34"/>
      <c r="G132" s="35"/>
      <c r="H132" s="35"/>
      <c r="I132" s="48">
        <f t="shared" si="2"/>
        <v>0</v>
      </c>
      <c r="J132" s="36"/>
      <c r="K132" s="36"/>
      <c r="L132" s="39" t="e">
        <f>VLOOKUP('Time Tracking'!$D132,Lists!O:P,2,FALSE)</f>
        <v>#N/A</v>
      </c>
      <c r="M132" s="51" t="e">
        <f>VLOOKUP(C132,Lists!$R$1:$S$15,2,FALSE)</f>
        <v>#N/A</v>
      </c>
      <c r="N132" s="37"/>
    </row>
    <row r="133" spans="1:14" s="24" customFormat="1" x14ac:dyDescent="0.25">
      <c r="A133" s="32"/>
      <c r="B133" s="33"/>
      <c r="C133" s="33"/>
      <c r="D133" s="33"/>
      <c r="E133" s="44" t="e">
        <f>VLOOKUP(A133,Lists!$U$1:$V$121,2,FALSE)</f>
        <v>#N/A</v>
      </c>
      <c r="F133" s="34"/>
      <c r="G133" s="35"/>
      <c r="H133" s="35"/>
      <c r="I133" s="48">
        <f t="shared" si="2"/>
        <v>0</v>
      </c>
      <c r="J133" s="36"/>
      <c r="K133" s="36"/>
      <c r="L133" s="39" t="e">
        <f>VLOOKUP('Time Tracking'!$D133,Lists!O:P,2,FALSE)</f>
        <v>#N/A</v>
      </c>
      <c r="M133" s="51" t="e">
        <f>VLOOKUP(C133,Lists!$R$1:$S$15,2,FALSE)</f>
        <v>#N/A</v>
      </c>
      <c r="N133" s="37"/>
    </row>
    <row r="134" spans="1:14" s="24" customFormat="1" x14ac:dyDescent="0.25">
      <c r="A134" s="32"/>
      <c r="B134" s="33"/>
      <c r="C134" s="33"/>
      <c r="D134" s="33"/>
      <c r="E134" s="44" t="e">
        <f>VLOOKUP(A134,Lists!$U$1:$V$121,2,FALSE)</f>
        <v>#N/A</v>
      </c>
      <c r="F134" s="34"/>
      <c r="G134" s="35"/>
      <c r="H134" s="35"/>
      <c r="I134" s="48">
        <f t="shared" si="2"/>
        <v>0</v>
      </c>
      <c r="J134" s="36"/>
      <c r="K134" s="36"/>
      <c r="L134" s="39" t="e">
        <f>VLOOKUP('Time Tracking'!$D134,Lists!O:P,2,FALSE)</f>
        <v>#N/A</v>
      </c>
      <c r="M134" s="51" t="e">
        <f>VLOOKUP(C134,Lists!$R$1:$S$15,2,FALSE)</f>
        <v>#N/A</v>
      </c>
      <c r="N134" s="37"/>
    </row>
    <row r="135" spans="1:14" s="24" customFormat="1" x14ac:dyDescent="0.25">
      <c r="A135" s="32"/>
      <c r="B135" s="33"/>
      <c r="C135" s="33"/>
      <c r="D135" s="33"/>
      <c r="E135" s="44" t="e">
        <f>VLOOKUP(A135,Lists!$U$1:$V$121,2,FALSE)</f>
        <v>#N/A</v>
      </c>
      <c r="F135" s="34"/>
      <c r="G135" s="35"/>
      <c r="H135" s="35"/>
      <c r="I135" s="48">
        <f t="shared" si="2"/>
        <v>0</v>
      </c>
      <c r="J135" s="36"/>
      <c r="K135" s="36"/>
      <c r="L135" s="39" t="e">
        <f>VLOOKUP('Time Tracking'!$D135,Lists!O:P,2,FALSE)</f>
        <v>#N/A</v>
      </c>
      <c r="M135" s="51" t="e">
        <f>VLOOKUP(C135,Lists!$R$1:$S$15,2,FALSE)</f>
        <v>#N/A</v>
      </c>
      <c r="N135" s="37"/>
    </row>
    <row r="136" spans="1:14" s="24" customFormat="1" x14ac:dyDescent="0.25">
      <c r="A136" s="32"/>
      <c r="B136" s="33"/>
      <c r="C136" s="33"/>
      <c r="D136" s="33"/>
      <c r="E136" s="44" t="e">
        <f>VLOOKUP(A136,Lists!$U$1:$V$121,2,FALSE)</f>
        <v>#N/A</v>
      </c>
      <c r="F136" s="34"/>
      <c r="G136" s="35"/>
      <c r="H136" s="35"/>
      <c r="I136" s="48">
        <f t="shared" si="2"/>
        <v>0</v>
      </c>
      <c r="J136" s="36"/>
      <c r="K136" s="36"/>
      <c r="L136" s="39" t="e">
        <f>VLOOKUP('Time Tracking'!$D136,Lists!O:P,2,FALSE)</f>
        <v>#N/A</v>
      </c>
      <c r="M136" s="51" t="e">
        <f>VLOOKUP(C136,Lists!$R$1:$S$15,2,FALSE)</f>
        <v>#N/A</v>
      </c>
      <c r="N136" s="37"/>
    </row>
    <row r="137" spans="1:14" s="24" customFormat="1" x14ac:dyDescent="0.25">
      <c r="A137" s="32"/>
      <c r="B137" s="33"/>
      <c r="C137" s="33"/>
      <c r="D137" s="33"/>
      <c r="E137" s="44" t="e">
        <f>VLOOKUP(A137,Lists!$U$1:$V$121,2,FALSE)</f>
        <v>#N/A</v>
      </c>
      <c r="F137" s="34"/>
      <c r="G137" s="35"/>
      <c r="H137" s="35"/>
      <c r="I137" s="48">
        <f t="shared" si="2"/>
        <v>0</v>
      </c>
      <c r="J137" s="36"/>
      <c r="K137" s="36"/>
      <c r="L137" s="39" t="e">
        <f>VLOOKUP('Time Tracking'!$D137,Lists!O:P,2,FALSE)</f>
        <v>#N/A</v>
      </c>
      <c r="M137" s="51" t="e">
        <f>VLOOKUP(C137,Lists!$R$1:$S$15,2,FALSE)</f>
        <v>#N/A</v>
      </c>
      <c r="N137" s="37"/>
    </row>
    <row r="138" spans="1:14" s="24" customFormat="1" x14ac:dyDescent="0.25">
      <c r="A138" s="32"/>
      <c r="B138" s="33"/>
      <c r="C138" s="33"/>
      <c r="D138" s="33"/>
      <c r="E138" s="44" t="e">
        <f>VLOOKUP(A138,Lists!$U$1:$V$121,2,FALSE)</f>
        <v>#N/A</v>
      </c>
      <c r="F138" s="34"/>
      <c r="G138" s="35"/>
      <c r="H138" s="35"/>
      <c r="I138" s="48">
        <f t="shared" si="2"/>
        <v>0</v>
      </c>
      <c r="J138" s="36"/>
      <c r="K138" s="36"/>
      <c r="L138" s="39" t="e">
        <f>VLOOKUP('Time Tracking'!$D138,Lists!O:P,2,FALSE)</f>
        <v>#N/A</v>
      </c>
      <c r="M138" s="51" t="e">
        <f>VLOOKUP(C138,Lists!$R$1:$S$15,2,FALSE)</f>
        <v>#N/A</v>
      </c>
      <c r="N138" s="37"/>
    </row>
    <row r="139" spans="1:14" s="24" customFormat="1" x14ac:dyDescent="0.25">
      <c r="A139" s="32"/>
      <c r="B139" s="33"/>
      <c r="C139" s="33"/>
      <c r="D139" s="33"/>
      <c r="E139" s="44" t="e">
        <f>VLOOKUP(A139,Lists!$U$1:$V$121,2,FALSE)</f>
        <v>#N/A</v>
      </c>
      <c r="F139" s="34"/>
      <c r="G139" s="35"/>
      <c r="H139" s="35"/>
      <c r="I139" s="48">
        <f t="shared" si="2"/>
        <v>0</v>
      </c>
      <c r="J139" s="36"/>
      <c r="K139" s="36"/>
      <c r="L139" s="39" t="e">
        <f>VLOOKUP('Time Tracking'!$D139,Lists!O:P,2,FALSE)</f>
        <v>#N/A</v>
      </c>
      <c r="M139" s="51" t="e">
        <f>VLOOKUP(C139,Lists!$R$1:$S$15,2,FALSE)</f>
        <v>#N/A</v>
      </c>
      <c r="N139" s="37"/>
    </row>
    <row r="140" spans="1:14" s="24" customFormat="1" x14ac:dyDescent="0.25">
      <c r="A140" s="32"/>
      <c r="B140" s="33"/>
      <c r="C140" s="33"/>
      <c r="D140" s="33"/>
      <c r="E140" s="44" t="e">
        <f>VLOOKUP(A140,Lists!$U$1:$V$121,2,FALSE)</f>
        <v>#N/A</v>
      </c>
      <c r="F140" s="34"/>
      <c r="G140" s="35"/>
      <c r="H140" s="35"/>
      <c r="I140" s="48">
        <f t="shared" si="2"/>
        <v>0</v>
      </c>
      <c r="J140" s="36"/>
      <c r="K140" s="36"/>
      <c r="L140" s="39" t="e">
        <f>VLOOKUP('Time Tracking'!$D140,Lists!O:P,2,FALSE)</f>
        <v>#N/A</v>
      </c>
      <c r="M140" s="51" t="e">
        <f>VLOOKUP(C140,Lists!$R$1:$S$15,2,FALSE)</f>
        <v>#N/A</v>
      </c>
      <c r="N140" s="37"/>
    </row>
    <row r="141" spans="1:14" s="24" customFormat="1" x14ac:dyDescent="0.25">
      <c r="A141" s="32"/>
      <c r="B141" s="33"/>
      <c r="C141" s="33"/>
      <c r="D141" s="33"/>
      <c r="E141" s="44" t="e">
        <f>VLOOKUP(A141,Lists!$U$1:$V$121,2,FALSE)</f>
        <v>#N/A</v>
      </c>
      <c r="F141" s="34"/>
      <c r="G141" s="35"/>
      <c r="H141" s="35"/>
      <c r="I141" s="48">
        <f t="shared" si="2"/>
        <v>0</v>
      </c>
      <c r="J141" s="36"/>
      <c r="K141" s="36"/>
      <c r="L141" s="39" t="e">
        <f>VLOOKUP('Time Tracking'!$D141,Lists!O:P,2,FALSE)</f>
        <v>#N/A</v>
      </c>
      <c r="M141" s="51" t="e">
        <f>VLOOKUP(C141,Lists!$R$1:$S$15,2,FALSE)</f>
        <v>#N/A</v>
      </c>
      <c r="N141" s="37"/>
    </row>
    <row r="142" spans="1:14" s="24" customFormat="1" x14ac:dyDescent="0.25">
      <c r="A142" s="32"/>
      <c r="B142" s="33"/>
      <c r="C142" s="33"/>
      <c r="D142" s="33"/>
      <c r="E142" s="44" t="e">
        <f>VLOOKUP(A142,Lists!$U$1:$V$121,2,FALSE)</f>
        <v>#N/A</v>
      </c>
      <c r="F142" s="34"/>
      <c r="G142" s="35"/>
      <c r="H142" s="35"/>
      <c r="I142" s="48">
        <f t="shared" si="2"/>
        <v>0</v>
      </c>
      <c r="J142" s="36"/>
      <c r="K142" s="36"/>
      <c r="L142" s="39" t="e">
        <f>VLOOKUP('Time Tracking'!$D142,Lists!O:P,2,FALSE)</f>
        <v>#N/A</v>
      </c>
      <c r="M142" s="51" t="e">
        <f>VLOOKUP(C142,Lists!$R$1:$S$15,2,FALSE)</f>
        <v>#N/A</v>
      </c>
      <c r="N142" s="37"/>
    </row>
    <row r="143" spans="1:14" s="24" customFormat="1" x14ac:dyDescent="0.25">
      <c r="A143" s="32"/>
      <c r="B143" s="33"/>
      <c r="C143" s="33"/>
      <c r="D143" s="33"/>
      <c r="E143" s="44" t="e">
        <f>VLOOKUP(A143,Lists!$U$1:$V$121,2,FALSE)</f>
        <v>#N/A</v>
      </c>
      <c r="F143" s="34"/>
      <c r="G143" s="35"/>
      <c r="H143" s="35"/>
      <c r="I143" s="48">
        <f t="shared" si="2"/>
        <v>0</v>
      </c>
      <c r="J143" s="36"/>
      <c r="K143" s="36"/>
      <c r="L143" s="39" t="e">
        <f>VLOOKUP('Time Tracking'!$D143,Lists!O:P,2,FALSE)</f>
        <v>#N/A</v>
      </c>
      <c r="M143" s="51" t="e">
        <f>VLOOKUP(C143,Lists!$R$1:$S$15,2,FALSE)</f>
        <v>#N/A</v>
      </c>
      <c r="N143" s="37"/>
    </row>
    <row r="144" spans="1:14" s="24" customFormat="1" x14ac:dyDescent="0.25">
      <c r="A144" s="32"/>
      <c r="B144" s="33"/>
      <c r="C144" s="33"/>
      <c r="D144" s="33"/>
      <c r="E144" s="44" t="e">
        <f>VLOOKUP(A144,Lists!$U$1:$V$121,2,FALSE)</f>
        <v>#N/A</v>
      </c>
      <c r="F144" s="34"/>
      <c r="G144" s="35"/>
      <c r="H144" s="35"/>
      <c r="I144" s="48">
        <f t="shared" si="2"/>
        <v>0</v>
      </c>
      <c r="J144" s="36"/>
      <c r="K144" s="36"/>
      <c r="L144" s="39" t="e">
        <f>VLOOKUP('Time Tracking'!$D144,Lists!O:P,2,FALSE)</f>
        <v>#N/A</v>
      </c>
      <c r="M144" s="51" t="e">
        <f>VLOOKUP(C144,Lists!$R$1:$S$15,2,FALSE)</f>
        <v>#N/A</v>
      </c>
      <c r="N144" s="37"/>
    </row>
    <row r="145" spans="1:14" s="24" customFormat="1" x14ac:dyDescent="0.25">
      <c r="A145" s="32"/>
      <c r="B145" s="33"/>
      <c r="C145" s="33"/>
      <c r="D145" s="33"/>
      <c r="E145" s="44" t="e">
        <f>VLOOKUP(A145,Lists!$U$1:$V$121,2,FALSE)</f>
        <v>#N/A</v>
      </c>
      <c r="F145" s="34"/>
      <c r="G145" s="35"/>
      <c r="H145" s="35"/>
      <c r="I145" s="48">
        <f t="shared" si="2"/>
        <v>0</v>
      </c>
      <c r="J145" s="36"/>
      <c r="K145" s="36"/>
      <c r="L145" s="39" t="e">
        <f>VLOOKUP('Time Tracking'!$D145,Lists!O:P,2,FALSE)</f>
        <v>#N/A</v>
      </c>
      <c r="M145" s="51" t="e">
        <f>VLOOKUP(C145,Lists!$R$1:$S$15,2,FALSE)</f>
        <v>#N/A</v>
      </c>
      <c r="N145" s="37"/>
    </row>
    <row r="146" spans="1:14" s="24" customFormat="1" x14ac:dyDescent="0.25">
      <c r="A146" s="32"/>
      <c r="B146" s="33"/>
      <c r="C146" s="33"/>
      <c r="D146" s="33"/>
      <c r="E146" s="44" t="e">
        <f>VLOOKUP(A146,Lists!$U$1:$V$121,2,FALSE)</f>
        <v>#N/A</v>
      </c>
      <c r="F146" s="34"/>
      <c r="G146" s="35"/>
      <c r="H146" s="35"/>
      <c r="I146" s="48">
        <f t="shared" si="2"/>
        <v>0</v>
      </c>
      <c r="J146" s="36"/>
      <c r="K146" s="36"/>
      <c r="L146" s="39" t="e">
        <f>VLOOKUP('Time Tracking'!$D146,Lists!O:P,2,FALSE)</f>
        <v>#N/A</v>
      </c>
      <c r="M146" s="51" t="e">
        <f>VLOOKUP(C146,Lists!$R$1:$S$15,2,FALSE)</f>
        <v>#N/A</v>
      </c>
      <c r="N146" s="37"/>
    </row>
    <row r="147" spans="1:14" s="24" customFormat="1" x14ac:dyDescent="0.25">
      <c r="A147" s="32"/>
      <c r="B147" s="33"/>
      <c r="C147" s="33"/>
      <c r="D147" s="33"/>
      <c r="E147" s="44" t="e">
        <f>VLOOKUP(A147,Lists!$U$1:$V$121,2,FALSE)</f>
        <v>#N/A</v>
      </c>
      <c r="F147" s="34"/>
      <c r="G147" s="35"/>
      <c r="H147" s="35"/>
      <c r="I147" s="48">
        <f t="shared" si="2"/>
        <v>0</v>
      </c>
      <c r="J147" s="36"/>
      <c r="K147" s="36"/>
      <c r="L147" s="39" t="e">
        <f>VLOOKUP('Time Tracking'!$D147,Lists!O:P,2,FALSE)</f>
        <v>#N/A</v>
      </c>
      <c r="M147" s="51" t="e">
        <f>VLOOKUP(C147,Lists!$R$1:$S$15,2,FALSE)</f>
        <v>#N/A</v>
      </c>
      <c r="N147" s="37"/>
    </row>
    <row r="148" spans="1:14" s="24" customFormat="1" x14ac:dyDescent="0.25">
      <c r="A148" s="32"/>
      <c r="B148" s="33"/>
      <c r="C148" s="33"/>
      <c r="D148" s="33"/>
      <c r="E148" s="44" t="e">
        <f>VLOOKUP(A148,Lists!$U$1:$V$121,2,FALSE)</f>
        <v>#N/A</v>
      </c>
      <c r="F148" s="34"/>
      <c r="G148" s="35"/>
      <c r="H148" s="35"/>
      <c r="I148" s="48">
        <f t="shared" si="2"/>
        <v>0</v>
      </c>
      <c r="J148" s="36"/>
      <c r="K148" s="36"/>
      <c r="L148" s="39" t="e">
        <f>VLOOKUP('Time Tracking'!$D148,Lists!O:P,2,FALSE)</f>
        <v>#N/A</v>
      </c>
      <c r="M148" s="51" t="e">
        <f>VLOOKUP(C148,Lists!$R$1:$S$15,2,FALSE)</f>
        <v>#N/A</v>
      </c>
      <c r="N148" s="37"/>
    </row>
    <row r="149" spans="1:14" s="24" customFormat="1" x14ac:dyDescent="0.25">
      <c r="A149" s="32"/>
      <c r="B149" s="33"/>
      <c r="C149" s="33"/>
      <c r="D149" s="33"/>
      <c r="E149" s="44" t="e">
        <f>VLOOKUP(A149,Lists!$U$1:$V$121,2,FALSE)</f>
        <v>#N/A</v>
      </c>
      <c r="F149" s="34"/>
      <c r="G149" s="35"/>
      <c r="H149" s="35"/>
      <c r="I149" s="48">
        <f t="shared" si="2"/>
        <v>0</v>
      </c>
      <c r="J149" s="36"/>
      <c r="K149" s="36"/>
      <c r="L149" s="39" t="e">
        <f>VLOOKUP('Time Tracking'!$D149,Lists!O:P,2,FALSE)</f>
        <v>#N/A</v>
      </c>
      <c r="M149" s="51" t="e">
        <f>VLOOKUP(C149,Lists!$R$1:$S$15,2,FALSE)</f>
        <v>#N/A</v>
      </c>
      <c r="N149" s="37"/>
    </row>
    <row r="150" spans="1:14" s="24" customFormat="1" x14ac:dyDescent="0.25">
      <c r="A150" s="32"/>
      <c r="B150" s="33"/>
      <c r="C150" s="33"/>
      <c r="D150" s="33"/>
      <c r="E150" s="44" t="e">
        <f>VLOOKUP(A150,Lists!$U$1:$V$121,2,FALSE)</f>
        <v>#N/A</v>
      </c>
      <c r="F150" s="34"/>
      <c r="G150" s="35"/>
      <c r="H150" s="35"/>
      <c r="I150" s="48">
        <f t="shared" si="2"/>
        <v>0</v>
      </c>
      <c r="J150" s="36"/>
      <c r="K150" s="36"/>
      <c r="L150" s="39" t="e">
        <f>VLOOKUP('Time Tracking'!$D150,Lists!O:P,2,FALSE)</f>
        <v>#N/A</v>
      </c>
      <c r="M150" s="51" t="e">
        <f>VLOOKUP(C150,Lists!$R$1:$S$15,2,FALSE)</f>
        <v>#N/A</v>
      </c>
      <c r="N150" s="37"/>
    </row>
    <row r="151" spans="1:14" s="24" customFormat="1" x14ac:dyDescent="0.25">
      <c r="A151" s="32"/>
      <c r="B151" s="33"/>
      <c r="C151" s="33"/>
      <c r="D151" s="33"/>
      <c r="E151" s="44" t="e">
        <f>VLOOKUP(A151,Lists!$U$1:$V$121,2,FALSE)</f>
        <v>#N/A</v>
      </c>
      <c r="F151" s="34"/>
      <c r="G151" s="35"/>
      <c r="H151" s="35"/>
      <c r="I151" s="48">
        <f t="shared" si="2"/>
        <v>0</v>
      </c>
      <c r="J151" s="36"/>
      <c r="K151" s="36"/>
      <c r="L151" s="39" t="e">
        <f>VLOOKUP('Time Tracking'!$D151,Lists!O:P,2,FALSE)</f>
        <v>#N/A</v>
      </c>
      <c r="M151" s="51" t="e">
        <f>VLOOKUP(C151,Lists!$R$1:$S$15,2,FALSE)</f>
        <v>#N/A</v>
      </c>
      <c r="N151" s="37"/>
    </row>
    <row r="152" spans="1:14" s="24" customFormat="1" x14ac:dyDescent="0.25">
      <c r="A152" s="32"/>
      <c r="B152" s="33"/>
      <c r="C152" s="33"/>
      <c r="D152" s="33"/>
      <c r="E152" s="44" t="e">
        <f>VLOOKUP(A152,Lists!$U$1:$V$121,2,FALSE)</f>
        <v>#N/A</v>
      </c>
      <c r="F152" s="34"/>
      <c r="G152" s="35"/>
      <c r="H152" s="35"/>
      <c r="I152" s="48">
        <f t="shared" si="2"/>
        <v>0</v>
      </c>
      <c r="J152" s="36"/>
      <c r="K152" s="36"/>
      <c r="L152" s="39" t="e">
        <f>VLOOKUP('Time Tracking'!$D152,Lists!O:P,2,FALSE)</f>
        <v>#N/A</v>
      </c>
      <c r="M152" s="51" t="e">
        <f>VLOOKUP(C152,Lists!$R$1:$S$15,2,FALSE)</f>
        <v>#N/A</v>
      </c>
      <c r="N152" s="37"/>
    </row>
    <row r="153" spans="1:14" s="24" customFormat="1" x14ac:dyDescent="0.25">
      <c r="A153" s="32"/>
      <c r="B153" s="33"/>
      <c r="C153" s="33"/>
      <c r="D153" s="33"/>
      <c r="E153" s="44" t="e">
        <f>VLOOKUP(A153,Lists!$U$1:$V$121,2,FALSE)</f>
        <v>#N/A</v>
      </c>
      <c r="F153" s="34"/>
      <c r="G153" s="35"/>
      <c r="H153" s="35"/>
      <c r="I153" s="48">
        <f t="shared" si="2"/>
        <v>0</v>
      </c>
      <c r="J153" s="36"/>
      <c r="K153" s="36"/>
      <c r="L153" s="39" t="e">
        <f>VLOOKUP('Time Tracking'!$D153,Lists!O:P,2,FALSE)</f>
        <v>#N/A</v>
      </c>
      <c r="M153" s="51" t="e">
        <f>VLOOKUP(C153,Lists!$R$1:$S$15,2,FALSE)</f>
        <v>#N/A</v>
      </c>
      <c r="N153" s="37"/>
    </row>
    <row r="154" spans="1:14" s="24" customFormat="1" x14ac:dyDescent="0.25">
      <c r="A154" s="32"/>
      <c r="B154" s="33"/>
      <c r="C154" s="33"/>
      <c r="D154" s="33"/>
      <c r="E154" s="44" t="e">
        <f>VLOOKUP(A154,Lists!$U$1:$V$121,2,FALSE)</f>
        <v>#N/A</v>
      </c>
      <c r="F154" s="34"/>
      <c r="G154" s="35"/>
      <c r="H154" s="35"/>
      <c r="I154" s="48">
        <f t="shared" si="2"/>
        <v>0</v>
      </c>
      <c r="J154" s="36"/>
      <c r="K154" s="36"/>
      <c r="L154" s="39" t="e">
        <f>VLOOKUP('Time Tracking'!$D154,Lists!O:P,2,FALSE)</f>
        <v>#N/A</v>
      </c>
      <c r="M154" s="51" t="e">
        <f>VLOOKUP(C154,Lists!$R$1:$S$15,2,FALSE)</f>
        <v>#N/A</v>
      </c>
      <c r="N154" s="37"/>
    </row>
    <row r="155" spans="1:14" s="24" customFormat="1" x14ac:dyDescent="0.25">
      <c r="A155" s="32"/>
      <c r="B155" s="33"/>
      <c r="C155" s="33"/>
      <c r="D155" s="33"/>
      <c r="E155" s="44" t="e">
        <f>VLOOKUP(A155,Lists!$U$1:$V$121,2,FALSE)</f>
        <v>#N/A</v>
      </c>
      <c r="F155" s="34"/>
      <c r="G155" s="35"/>
      <c r="H155" s="35"/>
      <c r="I155" s="48">
        <f t="shared" si="2"/>
        <v>0</v>
      </c>
      <c r="J155" s="36"/>
      <c r="K155" s="36"/>
      <c r="L155" s="39" t="e">
        <f>VLOOKUP('Time Tracking'!$D155,Lists!O:P,2,FALSE)</f>
        <v>#N/A</v>
      </c>
      <c r="M155" s="51" t="e">
        <f>VLOOKUP(C155,Lists!$R$1:$S$15,2,FALSE)</f>
        <v>#N/A</v>
      </c>
      <c r="N155" s="37"/>
    </row>
    <row r="156" spans="1:14" s="24" customFormat="1" x14ac:dyDescent="0.25">
      <c r="A156" s="32"/>
      <c r="B156" s="33"/>
      <c r="C156" s="33"/>
      <c r="D156" s="33"/>
      <c r="E156" s="44" t="e">
        <f>VLOOKUP(A156,Lists!$U$1:$V$121,2,FALSE)</f>
        <v>#N/A</v>
      </c>
      <c r="F156" s="34"/>
      <c r="G156" s="35"/>
      <c r="H156" s="35"/>
      <c r="I156" s="48">
        <f t="shared" si="2"/>
        <v>0</v>
      </c>
      <c r="J156" s="36"/>
      <c r="K156" s="36"/>
      <c r="L156" s="39" t="e">
        <f>VLOOKUP('Time Tracking'!$D156,Lists!O:P,2,FALSE)</f>
        <v>#N/A</v>
      </c>
      <c r="M156" s="51" t="e">
        <f>VLOOKUP(C156,Lists!$R$1:$S$15,2,FALSE)</f>
        <v>#N/A</v>
      </c>
      <c r="N156" s="37"/>
    </row>
    <row r="157" spans="1:14" s="24" customFormat="1" x14ac:dyDescent="0.25">
      <c r="A157" s="32"/>
      <c r="B157" s="33"/>
      <c r="C157" s="33"/>
      <c r="D157" s="33"/>
      <c r="E157" s="44" t="e">
        <f>VLOOKUP(A157,Lists!$U$1:$V$121,2,FALSE)</f>
        <v>#N/A</v>
      </c>
      <c r="F157" s="34"/>
      <c r="G157" s="35"/>
      <c r="H157" s="35"/>
      <c r="I157" s="48">
        <f t="shared" si="2"/>
        <v>0</v>
      </c>
      <c r="J157" s="36"/>
      <c r="K157" s="36"/>
      <c r="L157" s="39" t="e">
        <f>VLOOKUP('Time Tracking'!$D157,Lists!O:P,2,FALSE)</f>
        <v>#N/A</v>
      </c>
      <c r="M157" s="51" t="e">
        <f>VLOOKUP(C157,Lists!$R$1:$S$15,2,FALSE)</f>
        <v>#N/A</v>
      </c>
      <c r="N157" s="37"/>
    </row>
    <row r="158" spans="1:14" s="24" customFormat="1" x14ac:dyDescent="0.25">
      <c r="A158" s="32"/>
      <c r="B158" s="33"/>
      <c r="C158" s="33"/>
      <c r="D158" s="33"/>
      <c r="E158" s="44" t="e">
        <f>VLOOKUP(A158,Lists!$U$1:$V$121,2,FALSE)</f>
        <v>#N/A</v>
      </c>
      <c r="F158" s="34"/>
      <c r="G158" s="35"/>
      <c r="H158" s="35"/>
      <c r="I158" s="48">
        <f t="shared" si="2"/>
        <v>0</v>
      </c>
      <c r="J158" s="36"/>
      <c r="K158" s="36"/>
      <c r="L158" s="39" t="e">
        <f>VLOOKUP('Time Tracking'!$D158,Lists!O:P,2,FALSE)</f>
        <v>#N/A</v>
      </c>
      <c r="M158" s="51" t="e">
        <f>VLOOKUP(C158,Lists!$R$1:$S$15,2,FALSE)</f>
        <v>#N/A</v>
      </c>
      <c r="N158" s="37"/>
    </row>
    <row r="159" spans="1:14" s="24" customFormat="1" x14ac:dyDescent="0.25">
      <c r="A159" s="32"/>
      <c r="B159" s="33"/>
      <c r="C159" s="33"/>
      <c r="D159" s="33"/>
      <c r="E159" s="44" t="e">
        <f>VLOOKUP(A159,Lists!$U$1:$V$121,2,FALSE)</f>
        <v>#N/A</v>
      </c>
      <c r="F159" s="34"/>
      <c r="G159" s="35"/>
      <c r="H159" s="35"/>
      <c r="I159" s="48">
        <f t="shared" si="2"/>
        <v>0</v>
      </c>
      <c r="J159" s="36"/>
      <c r="K159" s="36"/>
      <c r="L159" s="39" t="e">
        <f>VLOOKUP('Time Tracking'!$D159,Lists!O:P,2,FALSE)</f>
        <v>#N/A</v>
      </c>
      <c r="M159" s="51" t="e">
        <f>VLOOKUP(C159,Lists!$R$1:$S$15,2,FALSE)</f>
        <v>#N/A</v>
      </c>
      <c r="N159" s="37"/>
    </row>
    <row r="160" spans="1:14" s="24" customFormat="1" x14ac:dyDescent="0.25">
      <c r="A160" s="32"/>
      <c r="B160" s="33"/>
      <c r="C160" s="33"/>
      <c r="D160" s="33"/>
      <c r="E160" s="44" t="e">
        <f>VLOOKUP(A160,Lists!$U$1:$V$121,2,FALSE)</f>
        <v>#N/A</v>
      </c>
      <c r="F160" s="34"/>
      <c r="G160" s="35"/>
      <c r="H160" s="35"/>
      <c r="I160" s="48">
        <f t="shared" si="2"/>
        <v>0</v>
      </c>
      <c r="J160" s="36"/>
      <c r="K160" s="36"/>
      <c r="L160" s="39" t="e">
        <f>VLOOKUP('Time Tracking'!$D160,Lists!O:P,2,FALSE)</f>
        <v>#N/A</v>
      </c>
      <c r="M160" s="51" t="e">
        <f>VLOOKUP(C160,Lists!$R$1:$S$15,2,FALSE)</f>
        <v>#N/A</v>
      </c>
      <c r="N160" s="37"/>
    </row>
    <row r="161" spans="1:14" s="24" customFormat="1" x14ac:dyDescent="0.25">
      <c r="A161" s="32"/>
      <c r="B161" s="33"/>
      <c r="C161" s="33"/>
      <c r="D161" s="33"/>
      <c r="E161" s="44" t="e">
        <f>VLOOKUP(A161,Lists!$U$1:$V$121,2,FALSE)</f>
        <v>#N/A</v>
      </c>
      <c r="F161" s="34"/>
      <c r="G161" s="35"/>
      <c r="H161" s="35"/>
      <c r="I161" s="48">
        <f t="shared" si="2"/>
        <v>0</v>
      </c>
      <c r="J161" s="36"/>
      <c r="K161" s="36"/>
      <c r="L161" s="39" t="e">
        <f>VLOOKUP('Time Tracking'!$D161,Lists!O:P,2,FALSE)</f>
        <v>#N/A</v>
      </c>
      <c r="M161" s="51" t="e">
        <f>VLOOKUP(C161,Lists!$R$1:$S$15,2,FALSE)</f>
        <v>#N/A</v>
      </c>
      <c r="N161" s="37"/>
    </row>
    <row r="162" spans="1:14" s="24" customFormat="1" x14ac:dyDescent="0.25">
      <c r="A162" s="32"/>
      <c r="B162" s="33"/>
      <c r="C162" s="33"/>
      <c r="D162" s="33"/>
      <c r="E162" s="44" t="e">
        <f>VLOOKUP(A162,Lists!$U$1:$V$121,2,FALSE)</f>
        <v>#N/A</v>
      </c>
      <c r="F162" s="34"/>
      <c r="G162" s="35"/>
      <c r="H162" s="35"/>
      <c r="I162" s="48">
        <f t="shared" si="2"/>
        <v>0</v>
      </c>
      <c r="J162" s="36"/>
      <c r="K162" s="36"/>
      <c r="L162" s="39" t="e">
        <f>VLOOKUP('Time Tracking'!$D162,Lists!O:P,2,FALSE)</f>
        <v>#N/A</v>
      </c>
      <c r="M162" s="51" t="e">
        <f>VLOOKUP(C162,Lists!$R$1:$S$15,2,FALSE)</f>
        <v>#N/A</v>
      </c>
      <c r="N162" s="37"/>
    </row>
    <row r="163" spans="1:14" s="24" customFormat="1" x14ac:dyDescent="0.25">
      <c r="A163" s="32"/>
      <c r="B163" s="33"/>
      <c r="C163" s="33"/>
      <c r="D163" s="33"/>
      <c r="E163" s="44" t="e">
        <f>VLOOKUP(A163,Lists!$U$1:$V$121,2,FALSE)</f>
        <v>#N/A</v>
      </c>
      <c r="F163" s="34"/>
      <c r="G163" s="35"/>
      <c r="H163" s="35"/>
      <c r="I163" s="48">
        <f t="shared" si="2"/>
        <v>0</v>
      </c>
      <c r="J163" s="36"/>
      <c r="K163" s="36"/>
      <c r="L163" s="39" t="e">
        <f>VLOOKUP('Time Tracking'!$D163,Lists!O:P,2,FALSE)</f>
        <v>#N/A</v>
      </c>
      <c r="M163" s="51" t="e">
        <f>VLOOKUP(C163,Lists!$R$1:$S$15,2,FALSE)</f>
        <v>#N/A</v>
      </c>
      <c r="N163" s="37"/>
    </row>
    <row r="164" spans="1:14" s="24" customFormat="1" x14ac:dyDescent="0.25">
      <c r="A164" s="32"/>
      <c r="B164" s="33"/>
      <c r="C164" s="33"/>
      <c r="D164" s="33"/>
      <c r="E164" s="44" t="e">
        <f>VLOOKUP(A164,Lists!$U$1:$V$121,2,FALSE)</f>
        <v>#N/A</v>
      </c>
      <c r="F164" s="34"/>
      <c r="G164" s="35"/>
      <c r="H164" s="35"/>
      <c r="I164" s="48">
        <f t="shared" si="2"/>
        <v>0</v>
      </c>
      <c r="J164" s="36"/>
      <c r="K164" s="36"/>
      <c r="L164" s="39" t="e">
        <f>VLOOKUP('Time Tracking'!$D164,Lists!O:P,2,FALSE)</f>
        <v>#N/A</v>
      </c>
      <c r="M164" s="51" t="e">
        <f>VLOOKUP(C164,Lists!$R$1:$S$15,2,FALSE)</f>
        <v>#N/A</v>
      </c>
      <c r="N164" s="37"/>
    </row>
    <row r="165" spans="1:14" s="24" customFormat="1" x14ac:dyDescent="0.25">
      <c r="A165" s="32"/>
      <c r="B165" s="33"/>
      <c r="C165" s="33"/>
      <c r="D165" s="33"/>
      <c r="E165" s="44" t="e">
        <f>VLOOKUP(A165,Lists!$U$1:$V$121,2,FALSE)</f>
        <v>#N/A</v>
      </c>
      <c r="F165" s="34"/>
      <c r="G165" s="35"/>
      <c r="H165" s="35"/>
      <c r="I165" s="48">
        <f t="shared" si="2"/>
        <v>0</v>
      </c>
      <c r="J165" s="36"/>
      <c r="K165" s="36"/>
      <c r="L165" s="39" t="e">
        <f>VLOOKUP('Time Tracking'!$D165,Lists!O:P,2,FALSE)</f>
        <v>#N/A</v>
      </c>
      <c r="M165" s="51" t="e">
        <f>VLOOKUP(C165,Lists!$R$1:$S$15,2,FALSE)</f>
        <v>#N/A</v>
      </c>
      <c r="N165" s="37"/>
    </row>
    <row r="166" spans="1:14" s="24" customFormat="1" x14ac:dyDescent="0.25">
      <c r="A166" s="32"/>
      <c r="B166" s="33"/>
      <c r="C166" s="33"/>
      <c r="D166" s="33"/>
      <c r="E166" s="44" t="e">
        <f>VLOOKUP(A166,Lists!$U$1:$V$121,2,FALSE)</f>
        <v>#N/A</v>
      </c>
      <c r="F166" s="34"/>
      <c r="G166" s="35"/>
      <c r="H166" s="35"/>
      <c r="I166" s="48">
        <f t="shared" si="2"/>
        <v>0</v>
      </c>
      <c r="J166" s="36"/>
      <c r="K166" s="36"/>
      <c r="L166" s="39" t="e">
        <f>VLOOKUP('Time Tracking'!$D166,Lists!O:P,2,FALSE)</f>
        <v>#N/A</v>
      </c>
      <c r="M166" s="51" t="e">
        <f>VLOOKUP(C166,Lists!$R$1:$S$15,2,FALSE)</f>
        <v>#N/A</v>
      </c>
      <c r="N166" s="37"/>
    </row>
    <row r="167" spans="1:14" s="24" customFormat="1" x14ac:dyDescent="0.25">
      <c r="A167" s="32"/>
      <c r="B167" s="33"/>
      <c r="C167" s="33"/>
      <c r="D167" s="33"/>
      <c r="E167" s="44" t="e">
        <f>VLOOKUP(A167,Lists!$U$1:$V$121,2,FALSE)</f>
        <v>#N/A</v>
      </c>
      <c r="F167" s="34"/>
      <c r="G167" s="35"/>
      <c r="H167" s="35"/>
      <c r="I167" s="48">
        <f t="shared" si="2"/>
        <v>0</v>
      </c>
      <c r="J167" s="36"/>
      <c r="K167" s="36"/>
      <c r="L167" s="39" t="e">
        <f>VLOOKUP('Time Tracking'!$D167,Lists!O:P,2,FALSE)</f>
        <v>#N/A</v>
      </c>
      <c r="M167" s="51" t="e">
        <f>VLOOKUP(C167,Lists!$R$1:$S$15,2,FALSE)</f>
        <v>#N/A</v>
      </c>
      <c r="N167" s="37"/>
    </row>
    <row r="168" spans="1:14" s="24" customFormat="1" x14ac:dyDescent="0.25">
      <c r="A168" s="32"/>
      <c r="B168" s="33"/>
      <c r="C168" s="33"/>
      <c r="D168" s="33"/>
      <c r="E168" s="44" t="e">
        <f>VLOOKUP(A168,Lists!$U$1:$V$121,2,FALSE)</f>
        <v>#N/A</v>
      </c>
      <c r="F168" s="34"/>
      <c r="G168" s="35"/>
      <c r="H168" s="35"/>
      <c r="I168" s="48">
        <f t="shared" si="2"/>
        <v>0</v>
      </c>
      <c r="J168" s="36"/>
      <c r="K168" s="36"/>
      <c r="L168" s="39" t="e">
        <f>VLOOKUP('Time Tracking'!$D168,Lists!O:P,2,FALSE)</f>
        <v>#N/A</v>
      </c>
      <c r="M168" s="51" t="e">
        <f>VLOOKUP(C168,Lists!$R$1:$S$15,2,FALSE)</f>
        <v>#N/A</v>
      </c>
      <c r="N168" s="37"/>
    </row>
    <row r="169" spans="1:14" s="24" customFormat="1" x14ac:dyDescent="0.25">
      <c r="A169" s="32"/>
      <c r="B169" s="33"/>
      <c r="C169" s="33"/>
      <c r="D169" s="33"/>
      <c r="E169" s="44" t="e">
        <f>VLOOKUP(A169,Lists!$U$1:$V$121,2,FALSE)</f>
        <v>#N/A</v>
      </c>
      <c r="F169" s="34"/>
      <c r="G169" s="35"/>
      <c r="H169" s="35"/>
      <c r="I169" s="48">
        <f t="shared" si="2"/>
        <v>0</v>
      </c>
      <c r="J169" s="36"/>
      <c r="K169" s="36"/>
      <c r="L169" s="39" t="e">
        <f>VLOOKUP('Time Tracking'!$D169,Lists!O:P,2,FALSE)</f>
        <v>#N/A</v>
      </c>
      <c r="M169" s="51" t="e">
        <f>VLOOKUP(C169,Lists!$R$1:$S$15,2,FALSE)</f>
        <v>#N/A</v>
      </c>
      <c r="N169" s="37"/>
    </row>
    <row r="170" spans="1:14" s="24" customFormat="1" x14ac:dyDescent="0.25">
      <c r="A170" s="32"/>
      <c r="B170" s="33"/>
      <c r="C170" s="33"/>
      <c r="D170" s="33"/>
      <c r="E170" s="44" t="e">
        <f>VLOOKUP(A170,Lists!$U$1:$V$121,2,FALSE)</f>
        <v>#N/A</v>
      </c>
      <c r="F170" s="34"/>
      <c r="G170" s="35"/>
      <c r="H170" s="35"/>
      <c r="I170" s="48">
        <f t="shared" si="2"/>
        <v>0</v>
      </c>
      <c r="J170" s="36"/>
      <c r="K170" s="36"/>
      <c r="L170" s="39" t="e">
        <f>VLOOKUP('Time Tracking'!$D170,Lists!O:P,2,FALSE)</f>
        <v>#N/A</v>
      </c>
      <c r="M170" s="51" t="e">
        <f>VLOOKUP(C170,Lists!$R$1:$S$15,2,FALSE)</f>
        <v>#N/A</v>
      </c>
      <c r="N170" s="37"/>
    </row>
    <row r="171" spans="1:14" s="24" customFormat="1" x14ac:dyDescent="0.25">
      <c r="A171" s="32"/>
      <c r="B171" s="33"/>
      <c r="C171" s="33"/>
      <c r="D171" s="33"/>
      <c r="E171" s="44" t="e">
        <f>VLOOKUP(A171,Lists!$U$1:$V$121,2,FALSE)</f>
        <v>#N/A</v>
      </c>
      <c r="F171" s="34"/>
      <c r="G171" s="35"/>
      <c r="H171" s="35"/>
      <c r="I171" s="48">
        <f t="shared" si="2"/>
        <v>0</v>
      </c>
      <c r="J171" s="36"/>
      <c r="K171" s="36"/>
      <c r="L171" s="39" t="e">
        <f>VLOOKUP('Time Tracking'!$D171,Lists!O:P,2,FALSE)</f>
        <v>#N/A</v>
      </c>
      <c r="M171" s="51" t="e">
        <f>VLOOKUP(C171,Lists!$R$1:$S$15,2,FALSE)</f>
        <v>#N/A</v>
      </c>
      <c r="N171" s="37"/>
    </row>
    <row r="172" spans="1:14" s="24" customFormat="1" x14ac:dyDescent="0.25">
      <c r="A172" s="32"/>
      <c r="B172" s="33"/>
      <c r="C172" s="33"/>
      <c r="D172" s="33"/>
      <c r="E172" s="44" t="e">
        <f>VLOOKUP(A172,Lists!$U$1:$V$121,2,FALSE)</f>
        <v>#N/A</v>
      </c>
      <c r="F172" s="34"/>
      <c r="G172" s="35"/>
      <c r="H172" s="35"/>
      <c r="I172" s="48">
        <f t="shared" si="2"/>
        <v>0</v>
      </c>
      <c r="J172" s="36"/>
      <c r="K172" s="36"/>
      <c r="L172" s="39" t="e">
        <f>VLOOKUP('Time Tracking'!$D172,Lists!O:P,2,FALSE)</f>
        <v>#N/A</v>
      </c>
      <c r="M172" s="51" t="e">
        <f>VLOOKUP(C172,Lists!$R$1:$S$15,2,FALSE)</f>
        <v>#N/A</v>
      </c>
      <c r="N172" s="37"/>
    </row>
    <row r="173" spans="1:14" s="24" customFormat="1" x14ac:dyDescent="0.25">
      <c r="A173" s="32"/>
      <c r="B173" s="33"/>
      <c r="C173" s="33"/>
      <c r="D173" s="33"/>
      <c r="E173" s="44" t="e">
        <f>VLOOKUP(A173,Lists!$U$1:$V$121,2,FALSE)</f>
        <v>#N/A</v>
      </c>
      <c r="F173" s="34"/>
      <c r="G173" s="35"/>
      <c r="H173" s="35"/>
      <c r="I173" s="48">
        <f t="shared" si="2"/>
        <v>0</v>
      </c>
      <c r="J173" s="36"/>
      <c r="K173" s="36"/>
      <c r="L173" s="39" t="e">
        <f>VLOOKUP('Time Tracking'!$D173,Lists!O:P,2,FALSE)</f>
        <v>#N/A</v>
      </c>
      <c r="M173" s="51" t="e">
        <f>VLOOKUP(C173,Lists!$R$1:$S$15,2,FALSE)</f>
        <v>#N/A</v>
      </c>
      <c r="N173" s="37"/>
    </row>
    <row r="174" spans="1:14" s="24" customFormat="1" x14ac:dyDescent="0.25">
      <c r="A174" s="32"/>
      <c r="B174" s="33"/>
      <c r="C174" s="33"/>
      <c r="D174" s="33"/>
      <c r="E174" s="44" t="e">
        <f>VLOOKUP(A174,Lists!$U$1:$V$121,2,FALSE)</f>
        <v>#N/A</v>
      </c>
      <c r="F174" s="34"/>
      <c r="G174" s="35"/>
      <c r="H174" s="35"/>
      <c r="I174" s="48">
        <f t="shared" si="2"/>
        <v>0</v>
      </c>
      <c r="J174" s="36"/>
      <c r="K174" s="36"/>
      <c r="L174" s="39" t="e">
        <f>VLOOKUP('Time Tracking'!$D174,Lists!O:P,2,FALSE)</f>
        <v>#N/A</v>
      </c>
      <c r="M174" s="51" t="e">
        <f>VLOOKUP(C174,Lists!$R$1:$S$15,2,FALSE)</f>
        <v>#N/A</v>
      </c>
      <c r="N174" s="37"/>
    </row>
    <row r="175" spans="1:14" s="24" customFormat="1" x14ac:dyDescent="0.25">
      <c r="A175" s="32"/>
      <c r="B175" s="33"/>
      <c r="C175" s="33"/>
      <c r="D175" s="33"/>
      <c r="E175" s="44" t="e">
        <f>VLOOKUP(A175,Lists!$U$1:$V$121,2,FALSE)</f>
        <v>#N/A</v>
      </c>
      <c r="F175" s="34"/>
      <c r="G175" s="35"/>
      <c r="H175" s="35"/>
      <c r="I175" s="48">
        <f t="shared" si="2"/>
        <v>0</v>
      </c>
      <c r="J175" s="36"/>
      <c r="K175" s="36"/>
      <c r="L175" s="39" t="e">
        <f>VLOOKUP('Time Tracking'!$D175,Lists!O:P,2,FALSE)</f>
        <v>#N/A</v>
      </c>
      <c r="M175" s="51" t="e">
        <f>VLOOKUP(C175,Lists!$R$1:$S$15,2,FALSE)</f>
        <v>#N/A</v>
      </c>
      <c r="N175" s="37"/>
    </row>
    <row r="176" spans="1:14" s="24" customFormat="1" x14ac:dyDescent="0.25">
      <c r="A176" s="32"/>
      <c r="B176" s="33"/>
      <c r="C176" s="33"/>
      <c r="D176" s="33"/>
      <c r="E176" s="44" t="e">
        <f>VLOOKUP(A176,Lists!$U$1:$V$121,2,FALSE)</f>
        <v>#N/A</v>
      </c>
      <c r="F176" s="34"/>
      <c r="G176" s="35"/>
      <c r="H176" s="35"/>
      <c r="I176" s="48">
        <f t="shared" si="2"/>
        <v>0</v>
      </c>
      <c r="J176" s="36"/>
      <c r="K176" s="36"/>
      <c r="L176" s="39" t="e">
        <f>VLOOKUP('Time Tracking'!$D176,Lists!O:P,2,FALSE)</f>
        <v>#N/A</v>
      </c>
      <c r="M176" s="51" t="e">
        <f>VLOOKUP(C176,Lists!$R$1:$S$15,2,FALSE)</f>
        <v>#N/A</v>
      </c>
      <c r="N176" s="37"/>
    </row>
    <row r="177" spans="1:14" s="24" customFormat="1" x14ac:dyDescent="0.25">
      <c r="A177" s="32"/>
      <c r="B177" s="33"/>
      <c r="C177" s="33"/>
      <c r="D177" s="33"/>
      <c r="E177" s="44" t="e">
        <f>VLOOKUP(A177,Lists!$U$1:$V$121,2,FALSE)</f>
        <v>#N/A</v>
      </c>
      <c r="F177" s="34"/>
      <c r="G177" s="35"/>
      <c r="H177" s="35"/>
      <c r="I177" s="48">
        <f t="shared" si="2"/>
        <v>0</v>
      </c>
      <c r="J177" s="36"/>
      <c r="K177" s="36"/>
      <c r="L177" s="39" t="e">
        <f>VLOOKUP('Time Tracking'!$D177,Lists!O:P,2,FALSE)</f>
        <v>#N/A</v>
      </c>
      <c r="M177" s="51" t="e">
        <f>VLOOKUP(C177,Lists!$R$1:$S$15,2,FALSE)</f>
        <v>#N/A</v>
      </c>
      <c r="N177" s="37"/>
    </row>
    <row r="178" spans="1:14" s="24" customFormat="1" x14ac:dyDescent="0.25">
      <c r="A178" s="32"/>
      <c r="B178" s="33"/>
      <c r="C178" s="33"/>
      <c r="D178" s="33"/>
      <c r="E178" s="44" t="e">
        <f>VLOOKUP(A178,Lists!$U$1:$V$121,2,FALSE)</f>
        <v>#N/A</v>
      </c>
      <c r="F178" s="34"/>
      <c r="G178" s="35"/>
      <c r="H178" s="35"/>
      <c r="I178" s="48">
        <f t="shared" si="2"/>
        <v>0</v>
      </c>
      <c r="J178" s="36"/>
      <c r="K178" s="36"/>
      <c r="L178" s="39" t="e">
        <f>VLOOKUP('Time Tracking'!$D178,Lists!O:P,2,FALSE)</f>
        <v>#N/A</v>
      </c>
      <c r="M178" s="51" t="e">
        <f>VLOOKUP(C178,Lists!$R$1:$S$15,2,FALSE)</f>
        <v>#N/A</v>
      </c>
      <c r="N178" s="37"/>
    </row>
    <row r="179" spans="1:14" s="24" customFormat="1" x14ac:dyDescent="0.25">
      <c r="A179" s="32"/>
      <c r="B179" s="33"/>
      <c r="C179" s="33"/>
      <c r="D179" s="33"/>
      <c r="E179" s="44" t="e">
        <f>VLOOKUP(A179,Lists!$U$1:$V$121,2,FALSE)</f>
        <v>#N/A</v>
      </c>
      <c r="F179" s="34"/>
      <c r="G179" s="35"/>
      <c r="H179" s="35"/>
      <c r="I179" s="48">
        <f t="shared" si="2"/>
        <v>0</v>
      </c>
      <c r="J179" s="36"/>
      <c r="K179" s="36"/>
      <c r="L179" s="39" t="e">
        <f>VLOOKUP('Time Tracking'!$D179,Lists!O:P,2,FALSE)</f>
        <v>#N/A</v>
      </c>
      <c r="M179" s="51" t="e">
        <f>VLOOKUP(C179,Lists!$R$1:$S$15,2,FALSE)</f>
        <v>#N/A</v>
      </c>
      <c r="N179" s="37"/>
    </row>
    <row r="180" spans="1:14" s="24" customFormat="1" x14ac:dyDescent="0.25">
      <c r="A180" s="32"/>
      <c r="B180" s="33"/>
      <c r="C180" s="33"/>
      <c r="D180" s="33"/>
      <c r="E180" s="44" t="e">
        <f>VLOOKUP(A180,Lists!$U$1:$V$121,2,FALSE)</f>
        <v>#N/A</v>
      </c>
      <c r="F180" s="34"/>
      <c r="G180" s="35"/>
      <c r="H180" s="35"/>
      <c r="I180" s="48">
        <f t="shared" si="2"/>
        <v>0</v>
      </c>
      <c r="J180" s="36"/>
      <c r="K180" s="36"/>
      <c r="L180" s="39" t="e">
        <f>VLOOKUP('Time Tracking'!$D180,Lists!O:P,2,FALSE)</f>
        <v>#N/A</v>
      </c>
      <c r="M180" s="51" t="e">
        <f>VLOOKUP(C180,Lists!$R$1:$S$15,2,FALSE)</f>
        <v>#N/A</v>
      </c>
      <c r="N180" s="37"/>
    </row>
    <row r="181" spans="1:14" s="24" customFormat="1" x14ac:dyDescent="0.25">
      <c r="A181" s="32"/>
      <c r="B181" s="33"/>
      <c r="C181" s="33"/>
      <c r="D181" s="33"/>
      <c r="E181" s="44" t="e">
        <f>VLOOKUP(A181,Lists!$U$1:$V$121,2,FALSE)</f>
        <v>#N/A</v>
      </c>
      <c r="F181" s="34"/>
      <c r="G181" s="35"/>
      <c r="H181" s="35"/>
      <c r="I181" s="48">
        <f t="shared" si="2"/>
        <v>0</v>
      </c>
      <c r="J181" s="36"/>
      <c r="K181" s="36"/>
      <c r="L181" s="39" t="e">
        <f>VLOOKUP('Time Tracking'!$D181,Lists!O:P,2,FALSE)</f>
        <v>#N/A</v>
      </c>
      <c r="M181" s="51" t="e">
        <f>VLOOKUP(C181,Lists!$R$1:$S$15,2,FALSE)</f>
        <v>#N/A</v>
      </c>
      <c r="N181" s="37"/>
    </row>
    <row r="182" spans="1:14" s="24" customFormat="1" x14ac:dyDescent="0.25">
      <c r="A182" s="32"/>
      <c r="B182" s="33"/>
      <c r="C182" s="33"/>
      <c r="D182" s="33"/>
      <c r="E182" s="44" t="e">
        <f>VLOOKUP(A182,Lists!$U$1:$V$121,2,FALSE)</f>
        <v>#N/A</v>
      </c>
      <c r="F182" s="34"/>
      <c r="G182" s="35"/>
      <c r="H182" s="35"/>
      <c r="I182" s="48">
        <f t="shared" si="2"/>
        <v>0</v>
      </c>
      <c r="J182" s="36"/>
      <c r="K182" s="36"/>
      <c r="L182" s="39" t="e">
        <f>VLOOKUP('Time Tracking'!$D182,Lists!O:P,2,FALSE)</f>
        <v>#N/A</v>
      </c>
      <c r="M182" s="51" t="e">
        <f>VLOOKUP(C182,Lists!$R$1:$S$15,2,FALSE)</f>
        <v>#N/A</v>
      </c>
      <c r="N182" s="37"/>
    </row>
    <row r="183" spans="1:14" s="24" customFormat="1" x14ac:dyDescent="0.25">
      <c r="A183" s="32"/>
      <c r="B183" s="33"/>
      <c r="C183" s="33"/>
      <c r="D183" s="33"/>
      <c r="E183" s="44" t="e">
        <f>VLOOKUP(A183,Lists!$U$1:$V$121,2,FALSE)</f>
        <v>#N/A</v>
      </c>
      <c r="F183" s="34"/>
      <c r="G183" s="35"/>
      <c r="H183" s="35"/>
      <c r="I183" s="48">
        <f t="shared" si="2"/>
        <v>0</v>
      </c>
      <c r="J183" s="36"/>
      <c r="K183" s="36"/>
      <c r="L183" s="39" t="e">
        <f>VLOOKUP('Time Tracking'!$D183,Lists!O:P,2,FALSE)</f>
        <v>#N/A</v>
      </c>
      <c r="M183" s="51" t="e">
        <f>VLOOKUP(C183,Lists!$R$1:$S$15,2,FALSE)</f>
        <v>#N/A</v>
      </c>
      <c r="N183" s="37"/>
    </row>
    <row r="184" spans="1:14" s="24" customFormat="1" x14ac:dyDescent="0.25">
      <c r="A184" s="32"/>
      <c r="B184" s="33"/>
      <c r="C184" s="33"/>
      <c r="D184" s="33"/>
      <c r="E184" s="44" t="e">
        <f>VLOOKUP(A184,Lists!$U$1:$V$121,2,FALSE)</f>
        <v>#N/A</v>
      </c>
      <c r="F184" s="34"/>
      <c r="G184" s="35"/>
      <c r="H184" s="35"/>
      <c r="I184" s="48">
        <f t="shared" si="2"/>
        <v>0</v>
      </c>
      <c r="J184" s="36"/>
      <c r="K184" s="36"/>
      <c r="L184" s="39" t="e">
        <f>VLOOKUP('Time Tracking'!$D184,Lists!O:P,2,FALSE)</f>
        <v>#N/A</v>
      </c>
      <c r="M184" s="51" t="e">
        <f>VLOOKUP(C184,Lists!$R$1:$S$15,2,FALSE)</f>
        <v>#N/A</v>
      </c>
      <c r="N184" s="37"/>
    </row>
    <row r="185" spans="1:14" s="24" customFormat="1" x14ac:dyDescent="0.25">
      <c r="A185" s="32"/>
      <c r="B185" s="33"/>
      <c r="C185" s="33"/>
      <c r="D185" s="33"/>
      <c r="E185" s="44" t="e">
        <f>VLOOKUP(A185,Lists!$U$1:$V$121,2,FALSE)</f>
        <v>#N/A</v>
      </c>
      <c r="F185" s="34"/>
      <c r="G185" s="35"/>
      <c r="H185" s="35"/>
      <c r="I185" s="48">
        <f t="shared" si="2"/>
        <v>0</v>
      </c>
      <c r="J185" s="36"/>
      <c r="K185" s="36"/>
      <c r="L185" s="39" t="e">
        <f>VLOOKUP('Time Tracking'!$D185,Lists!O:P,2,FALSE)</f>
        <v>#N/A</v>
      </c>
      <c r="M185" s="51" t="e">
        <f>VLOOKUP(C185,Lists!$R$1:$S$15,2,FALSE)</f>
        <v>#N/A</v>
      </c>
      <c r="N185" s="37"/>
    </row>
    <row r="186" spans="1:14" s="24" customFormat="1" x14ac:dyDescent="0.25">
      <c r="A186" s="32"/>
      <c r="B186" s="33"/>
      <c r="C186" s="33"/>
      <c r="D186" s="33"/>
      <c r="E186" s="44" t="e">
        <f>VLOOKUP(A186,Lists!$U$1:$V$121,2,FALSE)</f>
        <v>#N/A</v>
      </c>
      <c r="F186" s="34"/>
      <c r="G186" s="35"/>
      <c r="H186" s="35"/>
      <c r="I186" s="48">
        <f t="shared" si="2"/>
        <v>0</v>
      </c>
      <c r="J186" s="36"/>
      <c r="K186" s="36"/>
      <c r="L186" s="39" t="e">
        <f>VLOOKUP('Time Tracking'!$D186,Lists!O:P,2,FALSE)</f>
        <v>#N/A</v>
      </c>
      <c r="M186" s="51" t="e">
        <f>VLOOKUP(C186,Lists!$R$1:$S$15,2,FALSE)</f>
        <v>#N/A</v>
      </c>
      <c r="N186" s="37"/>
    </row>
    <row r="187" spans="1:14" s="24" customFormat="1" x14ac:dyDescent="0.25">
      <c r="A187" s="32"/>
      <c r="B187" s="33"/>
      <c r="C187" s="33"/>
      <c r="D187" s="33"/>
      <c r="E187" s="44" t="e">
        <f>VLOOKUP(A187,Lists!$U$1:$V$121,2,FALSE)</f>
        <v>#N/A</v>
      </c>
      <c r="F187" s="34"/>
      <c r="G187" s="35"/>
      <c r="H187" s="35"/>
      <c r="I187" s="48">
        <f t="shared" si="2"/>
        <v>0</v>
      </c>
      <c r="J187" s="36"/>
      <c r="K187" s="36"/>
      <c r="L187" s="39" t="e">
        <f>VLOOKUP('Time Tracking'!$D187,Lists!O:P,2,FALSE)</f>
        <v>#N/A</v>
      </c>
      <c r="M187" s="51" t="e">
        <f>VLOOKUP(C187,Lists!$R$1:$S$15,2,FALSE)</f>
        <v>#N/A</v>
      </c>
      <c r="N187" s="37"/>
    </row>
    <row r="188" spans="1:14" s="24" customFormat="1" x14ac:dyDescent="0.25">
      <c r="A188" s="32"/>
      <c r="B188" s="33"/>
      <c r="C188" s="33"/>
      <c r="D188" s="33"/>
      <c r="E188" s="44" t="e">
        <f>VLOOKUP(A188,Lists!$U$1:$V$121,2,FALSE)</f>
        <v>#N/A</v>
      </c>
      <c r="F188" s="34"/>
      <c r="G188" s="35"/>
      <c r="H188" s="35"/>
      <c r="I188" s="48">
        <f t="shared" si="2"/>
        <v>0</v>
      </c>
      <c r="J188" s="36"/>
      <c r="K188" s="36"/>
      <c r="L188" s="39" t="e">
        <f>VLOOKUP('Time Tracking'!$D188,Lists!O:P,2,FALSE)</f>
        <v>#N/A</v>
      </c>
      <c r="M188" s="51" t="e">
        <f>VLOOKUP(C188,Lists!$R$1:$S$15,2,FALSE)</f>
        <v>#N/A</v>
      </c>
      <c r="N188" s="37"/>
    </row>
    <row r="189" spans="1:14" s="24" customFormat="1" x14ac:dyDescent="0.25">
      <c r="A189" s="32"/>
      <c r="B189" s="33"/>
      <c r="C189" s="33"/>
      <c r="D189" s="33"/>
      <c r="E189" s="44" t="e">
        <f>VLOOKUP(A189,Lists!$U$1:$V$121,2,FALSE)</f>
        <v>#N/A</v>
      </c>
      <c r="F189" s="34"/>
      <c r="G189" s="35"/>
      <c r="H189" s="35"/>
      <c r="I189" s="48">
        <f t="shared" si="2"/>
        <v>0</v>
      </c>
      <c r="J189" s="36"/>
      <c r="K189" s="36"/>
      <c r="L189" s="39" t="e">
        <f>VLOOKUP('Time Tracking'!$D189,Lists!O:P,2,FALSE)</f>
        <v>#N/A</v>
      </c>
      <c r="M189" s="51" t="e">
        <f>VLOOKUP(C189,Lists!$R$1:$S$15,2,FALSE)</f>
        <v>#N/A</v>
      </c>
      <c r="N189" s="37"/>
    </row>
    <row r="190" spans="1:14" s="24" customFormat="1" x14ac:dyDescent="0.25">
      <c r="A190" s="32"/>
      <c r="B190" s="33"/>
      <c r="C190" s="33"/>
      <c r="D190" s="33"/>
      <c r="E190" s="44" t="e">
        <f>VLOOKUP(A190,Lists!$U$1:$V$121,2,FALSE)</f>
        <v>#N/A</v>
      </c>
      <c r="F190" s="34"/>
      <c r="G190" s="35"/>
      <c r="H190" s="35"/>
      <c r="I190" s="48">
        <f t="shared" si="2"/>
        <v>0</v>
      </c>
      <c r="J190" s="36"/>
      <c r="K190" s="36"/>
      <c r="L190" s="39" t="e">
        <f>VLOOKUP('Time Tracking'!$D190,Lists!O:P,2,FALSE)</f>
        <v>#N/A</v>
      </c>
      <c r="M190" s="51" t="e">
        <f>VLOOKUP(C190,Lists!$R$1:$S$15,2,FALSE)</f>
        <v>#N/A</v>
      </c>
      <c r="N190" s="37"/>
    </row>
    <row r="191" spans="1:14" s="24" customFormat="1" x14ac:dyDescent="0.25">
      <c r="A191" s="32"/>
      <c r="B191" s="33"/>
      <c r="C191" s="33"/>
      <c r="D191" s="33"/>
      <c r="E191" s="44" t="e">
        <f>VLOOKUP(A191,Lists!$U$1:$V$121,2,FALSE)</f>
        <v>#N/A</v>
      </c>
      <c r="F191" s="34"/>
      <c r="G191" s="35"/>
      <c r="H191" s="35"/>
      <c r="I191" s="48">
        <f t="shared" si="2"/>
        <v>0</v>
      </c>
      <c r="J191" s="36"/>
      <c r="K191" s="36"/>
      <c r="L191" s="39" t="e">
        <f>VLOOKUP('Time Tracking'!$D191,Lists!O:P,2,FALSE)</f>
        <v>#N/A</v>
      </c>
      <c r="M191" s="51" t="e">
        <f>VLOOKUP(C191,Lists!$R$1:$S$15,2,FALSE)</f>
        <v>#N/A</v>
      </c>
      <c r="N191" s="37"/>
    </row>
    <row r="192" spans="1:14" s="24" customFormat="1" x14ac:dyDescent="0.25">
      <c r="A192" s="32"/>
      <c r="B192" s="33"/>
      <c r="C192" s="33"/>
      <c r="D192" s="33"/>
      <c r="E192" s="44" t="e">
        <f>VLOOKUP(A192,Lists!$U$1:$V$121,2,FALSE)</f>
        <v>#N/A</v>
      </c>
      <c r="F192" s="34"/>
      <c r="G192" s="35"/>
      <c r="H192" s="35"/>
      <c r="I192" s="48">
        <f t="shared" si="2"/>
        <v>0</v>
      </c>
      <c r="J192" s="36"/>
      <c r="K192" s="36"/>
      <c r="L192" s="39" t="e">
        <f>VLOOKUP('Time Tracking'!$D192,Lists!O:P,2,FALSE)</f>
        <v>#N/A</v>
      </c>
      <c r="M192" s="51" t="e">
        <f>VLOOKUP(C192,Lists!$R$1:$S$15,2,FALSE)</f>
        <v>#N/A</v>
      </c>
      <c r="N192" s="37"/>
    </row>
    <row r="193" spans="1:14" s="24" customFormat="1" x14ac:dyDescent="0.25">
      <c r="A193" s="32"/>
      <c r="B193" s="33"/>
      <c r="C193" s="33"/>
      <c r="D193" s="33"/>
      <c r="E193" s="44" t="e">
        <f>VLOOKUP(A193,Lists!$U$1:$V$121,2,FALSE)</f>
        <v>#N/A</v>
      </c>
      <c r="F193" s="34"/>
      <c r="G193" s="35"/>
      <c r="H193" s="35"/>
      <c r="I193" s="48">
        <f t="shared" si="2"/>
        <v>0</v>
      </c>
      <c r="J193" s="36"/>
      <c r="K193" s="36"/>
      <c r="L193" s="39" t="e">
        <f>VLOOKUP('Time Tracking'!$D193,Lists!O:P,2,FALSE)</f>
        <v>#N/A</v>
      </c>
      <c r="M193" s="51" t="e">
        <f>VLOOKUP(C193,Lists!$R$1:$S$15,2,FALSE)</f>
        <v>#N/A</v>
      </c>
      <c r="N193" s="37"/>
    </row>
    <row r="194" spans="1:14" s="24" customFormat="1" x14ac:dyDescent="0.25">
      <c r="A194" s="32"/>
      <c r="B194" s="33"/>
      <c r="C194" s="33"/>
      <c r="D194" s="33"/>
      <c r="E194" s="44" t="e">
        <f>VLOOKUP(A194,Lists!$U$1:$V$121,2,FALSE)</f>
        <v>#N/A</v>
      </c>
      <c r="F194" s="34"/>
      <c r="G194" s="35"/>
      <c r="H194" s="35"/>
      <c r="I194" s="48">
        <f t="shared" ref="I194:I257" si="3">(IFERROR(TEXT(H194-G194,"h:mm"),"0:00"))*24</f>
        <v>0</v>
      </c>
      <c r="J194" s="36"/>
      <c r="K194" s="36"/>
      <c r="L194" s="39" t="e">
        <f>VLOOKUP('Time Tracking'!$D194,Lists!O:P,2,FALSE)</f>
        <v>#N/A</v>
      </c>
      <c r="M194" s="51" t="e">
        <f>VLOOKUP(C194,Lists!$R$1:$S$15,2,FALSE)</f>
        <v>#N/A</v>
      </c>
      <c r="N194" s="37"/>
    </row>
    <row r="195" spans="1:14" s="24" customFormat="1" x14ac:dyDescent="0.25">
      <c r="A195" s="32"/>
      <c r="B195" s="33"/>
      <c r="C195" s="33"/>
      <c r="D195" s="33"/>
      <c r="E195" s="44" t="e">
        <f>VLOOKUP(A195,Lists!$U$1:$V$121,2,FALSE)</f>
        <v>#N/A</v>
      </c>
      <c r="F195" s="34"/>
      <c r="G195" s="35"/>
      <c r="H195" s="35"/>
      <c r="I195" s="48">
        <f t="shared" si="3"/>
        <v>0</v>
      </c>
      <c r="J195" s="36"/>
      <c r="K195" s="36"/>
      <c r="L195" s="39" t="e">
        <f>VLOOKUP('Time Tracking'!$D195,Lists!O:P,2,FALSE)</f>
        <v>#N/A</v>
      </c>
      <c r="M195" s="51" t="e">
        <f>VLOOKUP(C195,Lists!$R$1:$S$15,2,FALSE)</f>
        <v>#N/A</v>
      </c>
      <c r="N195" s="37"/>
    </row>
    <row r="196" spans="1:14" s="24" customFormat="1" x14ac:dyDescent="0.25">
      <c r="A196" s="32"/>
      <c r="B196" s="33"/>
      <c r="C196" s="33"/>
      <c r="D196" s="33"/>
      <c r="E196" s="44" t="e">
        <f>VLOOKUP(A196,Lists!$U$1:$V$121,2,FALSE)</f>
        <v>#N/A</v>
      </c>
      <c r="F196" s="34"/>
      <c r="G196" s="35"/>
      <c r="H196" s="35"/>
      <c r="I196" s="48">
        <f t="shared" si="3"/>
        <v>0</v>
      </c>
      <c r="J196" s="36"/>
      <c r="K196" s="36"/>
      <c r="L196" s="39" t="e">
        <f>VLOOKUP('Time Tracking'!$D196,Lists!O:P,2,FALSE)</f>
        <v>#N/A</v>
      </c>
      <c r="M196" s="51" t="e">
        <f>VLOOKUP(C196,Lists!$R$1:$S$15,2,FALSE)</f>
        <v>#N/A</v>
      </c>
      <c r="N196" s="37"/>
    </row>
    <row r="197" spans="1:14" s="24" customFormat="1" x14ac:dyDescent="0.25">
      <c r="A197" s="32"/>
      <c r="B197" s="33"/>
      <c r="C197" s="33"/>
      <c r="D197" s="33"/>
      <c r="E197" s="44" t="e">
        <f>VLOOKUP(A197,Lists!$U$1:$V$121,2,FALSE)</f>
        <v>#N/A</v>
      </c>
      <c r="F197" s="34"/>
      <c r="G197" s="35"/>
      <c r="H197" s="35"/>
      <c r="I197" s="48">
        <f t="shared" si="3"/>
        <v>0</v>
      </c>
      <c r="J197" s="36"/>
      <c r="K197" s="36"/>
      <c r="L197" s="39" t="e">
        <f>VLOOKUP('Time Tracking'!$D197,Lists!O:P,2,FALSE)</f>
        <v>#N/A</v>
      </c>
      <c r="M197" s="51" t="e">
        <f>VLOOKUP(C197,Lists!$R$1:$S$15,2,FALSE)</f>
        <v>#N/A</v>
      </c>
      <c r="N197" s="37"/>
    </row>
    <row r="198" spans="1:14" s="24" customFormat="1" x14ac:dyDescent="0.25">
      <c r="A198" s="32"/>
      <c r="B198" s="33"/>
      <c r="C198" s="33"/>
      <c r="D198" s="33"/>
      <c r="E198" s="44" t="e">
        <f>VLOOKUP(A198,Lists!$U$1:$V$121,2,FALSE)</f>
        <v>#N/A</v>
      </c>
      <c r="F198" s="34"/>
      <c r="G198" s="35"/>
      <c r="H198" s="35"/>
      <c r="I198" s="48">
        <f t="shared" si="3"/>
        <v>0</v>
      </c>
      <c r="J198" s="36"/>
      <c r="K198" s="36"/>
      <c r="L198" s="39" t="e">
        <f>VLOOKUP('Time Tracking'!$D198,Lists!O:P,2,FALSE)</f>
        <v>#N/A</v>
      </c>
      <c r="M198" s="51" t="e">
        <f>VLOOKUP(C198,Lists!$R$1:$S$15,2,FALSE)</f>
        <v>#N/A</v>
      </c>
      <c r="N198" s="37"/>
    </row>
    <row r="199" spans="1:14" s="24" customFormat="1" x14ac:dyDescent="0.25">
      <c r="A199" s="32"/>
      <c r="B199" s="33"/>
      <c r="C199" s="33"/>
      <c r="D199" s="33"/>
      <c r="E199" s="44" t="e">
        <f>VLOOKUP(A199,Lists!$U$1:$V$121,2,FALSE)</f>
        <v>#N/A</v>
      </c>
      <c r="F199" s="34"/>
      <c r="G199" s="35"/>
      <c r="H199" s="35"/>
      <c r="I199" s="48">
        <f t="shared" si="3"/>
        <v>0</v>
      </c>
      <c r="J199" s="36"/>
      <c r="K199" s="36"/>
      <c r="L199" s="39" t="e">
        <f>VLOOKUP('Time Tracking'!$D199,Lists!O:P,2,FALSE)</f>
        <v>#N/A</v>
      </c>
      <c r="M199" s="51" t="e">
        <f>VLOOKUP(C199,Lists!$R$1:$S$15,2,FALSE)</f>
        <v>#N/A</v>
      </c>
      <c r="N199" s="37"/>
    </row>
    <row r="200" spans="1:14" s="24" customFormat="1" x14ac:dyDescent="0.25">
      <c r="A200" s="32"/>
      <c r="B200" s="33"/>
      <c r="C200" s="33"/>
      <c r="D200" s="33"/>
      <c r="E200" s="44" t="e">
        <f>VLOOKUP(A200,Lists!$U$1:$V$121,2,FALSE)</f>
        <v>#N/A</v>
      </c>
      <c r="F200" s="34"/>
      <c r="G200" s="35"/>
      <c r="H200" s="35"/>
      <c r="I200" s="48">
        <f t="shared" si="3"/>
        <v>0</v>
      </c>
      <c r="J200" s="36"/>
      <c r="K200" s="36"/>
      <c r="L200" s="39" t="e">
        <f>VLOOKUP('Time Tracking'!$D200,Lists!O:P,2,FALSE)</f>
        <v>#N/A</v>
      </c>
      <c r="M200" s="51" t="e">
        <f>VLOOKUP(C200,Lists!$R$1:$S$15,2,FALSE)</f>
        <v>#N/A</v>
      </c>
      <c r="N200" s="37"/>
    </row>
    <row r="201" spans="1:14" s="24" customFormat="1" x14ac:dyDescent="0.25">
      <c r="A201" s="32"/>
      <c r="B201" s="33"/>
      <c r="C201" s="33"/>
      <c r="D201" s="33"/>
      <c r="E201" s="44" t="e">
        <f>VLOOKUP(A201,Lists!$U$1:$V$121,2,FALSE)</f>
        <v>#N/A</v>
      </c>
      <c r="F201" s="34"/>
      <c r="G201" s="35"/>
      <c r="H201" s="35"/>
      <c r="I201" s="48">
        <f t="shared" si="3"/>
        <v>0</v>
      </c>
      <c r="J201" s="36"/>
      <c r="K201" s="36"/>
      <c r="L201" s="39" t="e">
        <f>VLOOKUP('Time Tracking'!$D201,Lists!O:P,2,FALSE)</f>
        <v>#N/A</v>
      </c>
      <c r="M201" s="51" t="e">
        <f>VLOOKUP(C201,Lists!$R$1:$S$15,2,FALSE)</f>
        <v>#N/A</v>
      </c>
      <c r="N201" s="37"/>
    </row>
    <row r="202" spans="1:14" s="24" customFormat="1" x14ac:dyDescent="0.25">
      <c r="A202" s="32"/>
      <c r="B202" s="33"/>
      <c r="C202" s="33"/>
      <c r="D202" s="33"/>
      <c r="E202" s="44" t="e">
        <f>VLOOKUP(A202,Lists!$U$1:$V$121,2,FALSE)</f>
        <v>#N/A</v>
      </c>
      <c r="F202" s="34"/>
      <c r="G202" s="35"/>
      <c r="H202" s="35"/>
      <c r="I202" s="48">
        <f t="shared" si="3"/>
        <v>0</v>
      </c>
      <c r="J202" s="36"/>
      <c r="K202" s="36"/>
      <c r="L202" s="39" t="e">
        <f>VLOOKUP('Time Tracking'!$D202,Lists!O:P,2,FALSE)</f>
        <v>#N/A</v>
      </c>
      <c r="M202" s="51" t="e">
        <f>VLOOKUP(C202,Lists!$R$1:$S$15,2,FALSE)</f>
        <v>#N/A</v>
      </c>
      <c r="N202" s="37"/>
    </row>
    <row r="203" spans="1:14" s="24" customFormat="1" x14ac:dyDescent="0.25">
      <c r="A203" s="32"/>
      <c r="B203" s="33"/>
      <c r="C203" s="33"/>
      <c r="D203" s="33"/>
      <c r="E203" s="44" t="e">
        <f>VLOOKUP(A203,Lists!$U$1:$V$121,2,FALSE)</f>
        <v>#N/A</v>
      </c>
      <c r="F203" s="34"/>
      <c r="G203" s="35"/>
      <c r="H203" s="35"/>
      <c r="I203" s="48">
        <f t="shared" si="3"/>
        <v>0</v>
      </c>
      <c r="J203" s="36"/>
      <c r="K203" s="36"/>
      <c r="L203" s="39" t="e">
        <f>VLOOKUP('Time Tracking'!$D203,Lists!O:P,2,FALSE)</f>
        <v>#N/A</v>
      </c>
      <c r="M203" s="51" t="e">
        <f>VLOOKUP(C203,Lists!$R$1:$S$15,2,FALSE)</f>
        <v>#N/A</v>
      </c>
      <c r="N203" s="37"/>
    </row>
    <row r="204" spans="1:14" s="24" customFormat="1" x14ac:dyDescent="0.25">
      <c r="A204" s="32"/>
      <c r="B204" s="33"/>
      <c r="C204" s="33"/>
      <c r="D204" s="33"/>
      <c r="E204" s="44" t="e">
        <f>VLOOKUP(A204,Lists!$U$1:$V$121,2,FALSE)</f>
        <v>#N/A</v>
      </c>
      <c r="F204" s="34"/>
      <c r="G204" s="35"/>
      <c r="H204" s="35"/>
      <c r="I204" s="48">
        <f t="shared" si="3"/>
        <v>0</v>
      </c>
      <c r="J204" s="36"/>
      <c r="K204" s="36"/>
      <c r="L204" s="39" t="e">
        <f>VLOOKUP('Time Tracking'!$D204,Lists!O:P,2,FALSE)</f>
        <v>#N/A</v>
      </c>
      <c r="M204" s="51" t="e">
        <f>VLOOKUP(C204,Lists!$R$1:$S$15,2,FALSE)</f>
        <v>#N/A</v>
      </c>
      <c r="N204" s="37"/>
    </row>
    <row r="205" spans="1:14" s="24" customFormat="1" x14ac:dyDescent="0.25">
      <c r="A205" s="32"/>
      <c r="B205" s="33"/>
      <c r="C205" s="33"/>
      <c r="D205" s="33"/>
      <c r="E205" s="44" t="e">
        <f>VLOOKUP(A205,Lists!$U$1:$V$121,2,FALSE)</f>
        <v>#N/A</v>
      </c>
      <c r="F205" s="34"/>
      <c r="G205" s="35"/>
      <c r="H205" s="35"/>
      <c r="I205" s="48">
        <f t="shared" si="3"/>
        <v>0</v>
      </c>
      <c r="J205" s="36"/>
      <c r="K205" s="36"/>
      <c r="L205" s="39" t="e">
        <f>VLOOKUP('Time Tracking'!$D205,Lists!O:P,2,FALSE)</f>
        <v>#N/A</v>
      </c>
      <c r="M205" s="51" t="e">
        <f>VLOOKUP(C205,Lists!$R$1:$S$15,2,FALSE)</f>
        <v>#N/A</v>
      </c>
      <c r="N205" s="37"/>
    </row>
    <row r="206" spans="1:14" s="24" customFormat="1" x14ac:dyDescent="0.25">
      <c r="A206" s="32"/>
      <c r="B206" s="33"/>
      <c r="C206" s="33"/>
      <c r="D206" s="33"/>
      <c r="E206" s="44" t="e">
        <f>VLOOKUP(A206,Lists!$U$1:$V$121,2,FALSE)</f>
        <v>#N/A</v>
      </c>
      <c r="F206" s="34"/>
      <c r="G206" s="35"/>
      <c r="H206" s="35"/>
      <c r="I206" s="48">
        <f t="shared" si="3"/>
        <v>0</v>
      </c>
      <c r="J206" s="36"/>
      <c r="K206" s="36"/>
      <c r="L206" s="39" t="e">
        <f>VLOOKUP('Time Tracking'!$D206,Lists!O:P,2,FALSE)</f>
        <v>#N/A</v>
      </c>
      <c r="M206" s="51" t="e">
        <f>VLOOKUP(C206,Lists!$R$1:$S$15,2,FALSE)</f>
        <v>#N/A</v>
      </c>
      <c r="N206" s="37"/>
    </row>
    <row r="207" spans="1:14" s="24" customFormat="1" x14ac:dyDescent="0.25">
      <c r="A207" s="32"/>
      <c r="B207" s="33"/>
      <c r="C207" s="33"/>
      <c r="D207" s="33"/>
      <c r="E207" s="44" t="e">
        <f>VLOOKUP(A207,Lists!$U$1:$V$121,2,FALSE)</f>
        <v>#N/A</v>
      </c>
      <c r="F207" s="34"/>
      <c r="G207" s="35"/>
      <c r="H207" s="35"/>
      <c r="I207" s="48">
        <f t="shared" si="3"/>
        <v>0</v>
      </c>
      <c r="J207" s="36"/>
      <c r="K207" s="36"/>
      <c r="L207" s="39" t="e">
        <f>VLOOKUP('Time Tracking'!$D207,Lists!O:P,2,FALSE)</f>
        <v>#N/A</v>
      </c>
      <c r="M207" s="51" t="e">
        <f>VLOOKUP(C207,Lists!$R$1:$S$15,2,FALSE)</f>
        <v>#N/A</v>
      </c>
      <c r="N207" s="37"/>
    </row>
    <row r="208" spans="1:14" s="24" customFormat="1" x14ac:dyDescent="0.25">
      <c r="A208" s="32"/>
      <c r="B208" s="33"/>
      <c r="C208" s="33"/>
      <c r="D208" s="33"/>
      <c r="E208" s="44" t="e">
        <f>VLOOKUP(A208,Lists!$U$1:$V$121,2,FALSE)</f>
        <v>#N/A</v>
      </c>
      <c r="F208" s="34"/>
      <c r="G208" s="35"/>
      <c r="H208" s="35"/>
      <c r="I208" s="48">
        <f t="shared" si="3"/>
        <v>0</v>
      </c>
      <c r="J208" s="36"/>
      <c r="K208" s="36"/>
      <c r="L208" s="39" t="e">
        <f>VLOOKUP('Time Tracking'!$D208,Lists!O:P,2,FALSE)</f>
        <v>#N/A</v>
      </c>
      <c r="M208" s="51" t="e">
        <f>VLOOKUP(C208,Lists!$R$1:$S$15,2,FALSE)</f>
        <v>#N/A</v>
      </c>
      <c r="N208" s="37"/>
    </row>
    <row r="209" spans="1:14" s="24" customFormat="1" x14ac:dyDescent="0.25">
      <c r="A209" s="32"/>
      <c r="B209" s="33"/>
      <c r="C209" s="33"/>
      <c r="D209" s="33"/>
      <c r="E209" s="44" t="e">
        <f>VLOOKUP(A209,Lists!$U$1:$V$121,2,FALSE)</f>
        <v>#N/A</v>
      </c>
      <c r="F209" s="34"/>
      <c r="G209" s="35"/>
      <c r="H209" s="35"/>
      <c r="I209" s="48">
        <f t="shared" si="3"/>
        <v>0</v>
      </c>
      <c r="J209" s="36"/>
      <c r="K209" s="36"/>
      <c r="L209" s="39" t="e">
        <f>VLOOKUP('Time Tracking'!$D209,Lists!O:P,2,FALSE)</f>
        <v>#N/A</v>
      </c>
      <c r="M209" s="51" t="e">
        <f>VLOOKUP(C209,Lists!$R$1:$S$15,2,FALSE)</f>
        <v>#N/A</v>
      </c>
      <c r="N209" s="37"/>
    </row>
    <row r="210" spans="1:14" s="24" customFormat="1" x14ac:dyDescent="0.25">
      <c r="A210" s="32"/>
      <c r="B210" s="33"/>
      <c r="C210" s="33"/>
      <c r="D210" s="33"/>
      <c r="E210" s="44" t="e">
        <f>VLOOKUP(A210,Lists!$U$1:$V$121,2,FALSE)</f>
        <v>#N/A</v>
      </c>
      <c r="F210" s="34"/>
      <c r="G210" s="35"/>
      <c r="H210" s="35"/>
      <c r="I210" s="48">
        <f t="shared" si="3"/>
        <v>0</v>
      </c>
      <c r="J210" s="36"/>
      <c r="K210" s="36"/>
      <c r="L210" s="39" t="e">
        <f>VLOOKUP('Time Tracking'!$D210,Lists!O:P,2,FALSE)</f>
        <v>#N/A</v>
      </c>
      <c r="M210" s="51" t="e">
        <f>VLOOKUP(C210,Lists!$R$1:$S$15,2,FALSE)</f>
        <v>#N/A</v>
      </c>
      <c r="N210" s="37"/>
    </row>
    <row r="211" spans="1:14" s="24" customFormat="1" x14ac:dyDescent="0.25">
      <c r="A211" s="32"/>
      <c r="B211" s="33"/>
      <c r="C211" s="33"/>
      <c r="D211" s="33"/>
      <c r="E211" s="44" t="e">
        <f>VLOOKUP(A211,Lists!$U$1:$V$121,2,FALSE)</f>
        <v>#N/A</v>
      </c>
      <c r="F211" s="34"/>
      <c r="G211" s="35"/>
      <c r="H211" s="35"/>
      <c r="I211" s="48">
        <f t="shared" si="3"/>
        <v>0</v>
      </c>
      <c r="J211" s="36"/>
      <c r="K211" s="36"/>
      <c r="L211" s="39" t="e">
        <f>VLOOKUP('Time Tracking'!$D211,Lists!O:P,2,FALSE)</f>
        <v>#N/A</v>
      </c>
      <c r="M211" s="51" t="e">
        <f>VLOOKUP(C211,Lists!$R$1:$S$15,2,FALSE)</f>
        <v>#N/A</v>
      </c>
      <c r="N211" s="37"/>
    </row>
    <row r="212" spans="1:14" s="24" customFormat="1" x14ac:dyDescent="0.25">
      <c r="A212" s="32"/>
      <c r="B212" s="33"/>
      <c r="C212" s="33"/>
      <c r="D212" s="33"/>
      <c r="E212" s="44" t="e">
        <f>VLOOKUP(A212,Lists!$U$1:$V$121,2,FALSE)</f>
        <v>#N/A</v>
      </c>
      <c r="F212" s="34"/>
      <c r="G212" s="35"/>
      <c r="H212" s="35"/>
      <c r="I212" s="48">
        <f t="shared" si="3"/>
        <v>0</v>
      </c>
      <c r="J212" s="36"/>
      <c r="K212" s="36"/>
      <c r="L212" s="39" t="e">
        <f>VLOOKUP('Time Tracking'!$D212,Lists!O:P,2,FALSE)</f>
        <v>#N/A</v>
      </c>
      <c r="M212" s="51" t="e">
        <f>VLOOKUP(C212,Lists!$R$1:$S$15,2,FALSE)</f>
        <v>#N/A</v>
      </c>
      <c r="N212" s="37"/>
    </row>
    <row r="213" spans="1:14" s="24" customFormat="1" x14ac:dyDescent="0.25">
      <c r="A213" s="32"/>
      <c r="B213" s="33"/>
      <c r="C213" s="33"/>
      <c r="D213" s="33"/>
      <c r="E213" s="44" t="e">
        <f>VLOOKUP(A213,Lists!$U$1:$V$121,2,FALSE)</f>
        <v>#N/A</v>
      </c>
      <c r="F213" s="34"/>
      <c r="G213" s="35"/>
      <c r="H213" s="35"/>
      <c r="I213" s="48">
        <f t="shared" si="3"/>
        <v>0</v>
      </c>
      <c r="J213" s="36"/>
      <c r="K213" s="36"/>
      <c r="L213" s="39" t="e">
        <f>VLOOKUP('Time Tracking'!$D213,Lists!O:P,2,FALSE)</f>
        <v>#N/A</v>
      </c>
      <c r="M213" s="51" t="e">
        <f>VLOOKUP(C213,Lists!$R$1:$S$15,2,FALSE)</f>
        <v>#N/A</v>
      </c>
      <c r="N213" s="37"/>
    </row>
    <row r="214" spans="1:14" s="24" customFormat="1" x14ac:dyDescent="0.25">
      <c r="A214" s="32"/>
      <c r="B214" s="33"/>
      <c r="C214" s="33"/>
      <c r="D214" s="33"/>
      <c r="E214" s="44" t="e">
        <f>VLOOKUP(A214,Lists!$U$1:$V$121,2,FALSE)</f>
        <v>#N/A</v>
      </c>
      <c r="F214" s="34"/>
      <c r="G214" s="35"/>
      <c r="H214" s="35"/>
      <c r="I214" s="48">
        <f t="shared" si="3"/>
        <v>0</v>
      </c>
      <c r="J214" s="36"/>
      <c r="K214" s="36"/>
      <c r="L214" s="39" t="e">
        <f>VLOOKUP('Time Tracking'!$D214,Lists!O:P,2,FALSE)</f>
        <v>#N/A</v>
      </c>
      <c r="M214" s="51" t="e">
        <f>VLOOKUP(C214,Lists!$R$1:$S$15,2,FALSE)</f>
        <v>#N/A</v>
      </c>
      <c r="N214" s="37"/>
    </row>
    <row r="215" spans="1:14" s="24" customFormat="1" x14ac:dyDescent="0.25">
      <c r="A215" s="32"/>
      <c r="B215" s="33"/>
      <c r="C215" s="33"/>
      <c r="D215" s="33"/>
      <c r="E215" s="44" t="e">
        <f>VLOOKUP(A215,Lists!$U$1:$V$121,2,FALSE)</f>
        <v>#N/A</v>
      </c>
      <c r="F215" s="34"/>
      <c r="G215" s="35"/>
      <c r="H215" s="35"/>
      <c r="I215" s="48">
        <f t="shared" si="3"/>
        <v>0</v>
      </c>
      <c r="J215" s="36"/>
      <c r="K215" s="36"/>
      <c r="L215" s="39" t="e">
        <f>VLOOKUP('Time Tracking'!$D215,Lists!O:P,2,FALSE)</f>
        <v>#N/A</v>
      </c>
      <c r="M215" s="51" t="e">
        <f>VLOOKUP(C215,Lists!$R$1:$S$15,2,FALSE)</f>
        <v>#N/A</v>
      </c>
      <c r="N215" s="37"/>
    </row>
    <row r="216" spans="1:14" s="24" customFormat="1" x14ac:dyDescent="0.25">
      <c r="A216" s="32"/>
      <c r="B216" s="33"/>
      <c r="C216" s="33"/>
      <c r="D216" s="33"/>
      <c r="E216" s="44" t="e">
        <f>VLOOKUP(A216,Lists!$U$1:$V$121,2,FALSE)</f>
        <v>#N/A</v>
      </c>
      <c r="F216" s="34"/>
      <c r="G216" s="35"/>
      <c r="H216" s="35"/>
      <c r="I216" s="48">
        <f t="shared" si="3"/>
        <v>0</v>
      </c>
      <c r="J216" s="36"/>
      <c r="K216" s="36"/>
      <c r="L216" s="39" t="e">
        <f>VLOOKUP('Time Tracking'!$D216,Lists!O:P,2,FALSE)</f>
        <v>#N/A</v>
      </c>
      <c r="M216" s="51" t="e">
        <f>VLOOKUP(C216,Lists!$R$1:$S$15,2,FALSE)</f>
        <v>#N/A</v>
      </c>
      <c r="N216" s="37"/>
    </row>
    <row r="217" spans="1:14" s="24" customFormat="1" x14ac:dyDescent="0.25">
      <c r="A217" s="32"/>
      <c r="B217" s="33"/>
      <c r="C217" s="33"/>
      <c r="D217" s="33"/>
      <c r="E217" s="44" t="e">
        <f>VLOOKUP(A217,Lists!$U$1:$V$121,2,FALSE)</f>
        <v>#N/A</v>
      </c>
      <c r="F217" s="34"/>
      <c r="G217" s="35"/>
      <c r="H217" s="35"/>
      <c r="I217" s="48">
        <f t="shared" si="3"/>
        <v>0</v>
      </c>
      <c r="J217" s="36"/>
      <c r="K217" s="36"/>
      <c r="L217" s="39" t="e">
        <f>VLOOKUP('Time Tracking'!$D217,Lists!O:P,2,FALSE)</f>
        <v>#N/A</v>
      </c>
      <c r="M217" s="51" t="e">
        <f>VLOOKUP(C217,Lists!$R$1:$S$15,2,FALSE)</f>
        <v>#N/A</v>
      </c>
      <c r="N217" s="37"/>
    </row>
    <row r="218" spans="1:14" s="24" customFormat="1" x14ac:dyDescent="0.25">
      <c r="A218" s="32"/>
      <c r="B218" s="33"/>
      <c r="C218" s="33"/>
      <c r="D218" s="33"/>
      <c r="E218" s="44" t="e">
        <f>VLOOKUP(A218,Lists!$U$1:$V$121,2,FALSE)</f>
        <v>#N/A</v>
      </c>
      <c r="F218" s="34"/>
      <c r="G218" s="35"/>
      <c r="H218" s="35"/>
      <c r="I218" s="48">
        <f t="shared" si="3"/>
        <v>0</v>
      </c>
      <c r="J218" s="36"/>
      <c r="K218" s="36"/>
      <c r="L218" s="39" t="e">
        <f>VLOOKUP('Time Tracking'!$D218,Lists!O:P,2,FALSE)</f>
        <v>#N/A</v>
      </c>
      <c r="M218" s="51" t="e">
        <f>VLOOKUP(C218,Lists!$R$1:$S$15,2,FALSE)</f>
        <v>#N/A</v>
      </c>
      <c r="N218" s="37"/>
    </row>
    <row r="219" spans="1:14" s="24" customFormat="1" x14ac:dyDescent="0.25">
      <c r="A219" s="32"/>
      <c r="B219" s="33"/>
      <c r="C219" s="33"/>
      <c r="D219" s="33"/>
      <c r="E219" s="44" t="e">
        <f>VLOOKUP(A219,Lists!$U$1:$V$121,2,FALSE)</f>
        <v>#N/A</v>
      </c>
      <c r="F219" s="34"/>
      <c r="G219" s="35"/>
      <c r="H219" s="35"/>
      <c r="I219" s="48">
        <f t="shared" si="3"/>
        <v>0</v>
      </c>
      <c r="J219" s="36"/>
      <c r="K219" s="36"/>
      <c r="L219" s="39" t="e">
        <f>VLOOKUP('Time Tracking'!$D219,Lists!O:P,2,FALSE)</f>
        <v>#N/A</v>
      </c>
      <c r="M219" s="51" t="e">
        <f>VLOOKUP(C219,Lists!$R$1:$S$15,2,FALSE)</f>
        <v>#N/A</v>
      </c>
      <c r="N219" s="37"/>
    </row>
    <row r="220" spans="1:14" s="24" customFormat="1" x14ac:dyDescent="0.25">
      <c r="A220" s="32"/>
      <c r="B220" s="33"/>
      <c r="C220" s="33"/>
      <c r="D220" s="33"/>
      <c r="E220" s="44" t="e">
        <f>VLOOKUP(A220,Lists!$U$1:$V$121,2,FALSE)</f>
        <v>#N/A</v>
      </c>
      <c r="F220" s="34"/>
      <c r="G220" s="35"/>
      <c r="H220" s="35"/>
      <c r="I220" s="48">
        <f t="shared" si="3"/>
        <v>0</v>
      </c>
      <c r="J220" s="36"/>
      <c r="K220" s="36"/>
      <c r="L220" s="39" t="e">
        <f>VLOOKUP('Time Tracking'!$D220,Lists!O:P,2,FALSE)</f>
        <v>#N/A</v>
      </c>
      <c r="M220" s="51" t="e">
        <f>VLOOKUP(C220,Lists!$R$1:$S$15,2,FALSE)</f>
        <v>#N/A</v>
      </c>
      <c r="N220" s="37"/>
    </row>
    <row r="221" spans="1:14" s="24" customFormat="1" x14ac:dyDescent="0.25">
      <c r="A221" s="32"/>
      <c r="B221" s="33"/>
      <c r="C221" s="33"/>
      <c r="D221" s="33"/>
      <c r="E221" s="44" t="e">
        <f>VLOOKUP(A221,Lists!$U$1:$V$121,2,FALSE)</f>
        <v>#N/A</v>
      </c>
      <c r="F221" s="34"/>
      <c r="G221" s="35"/>
      <c r="H221" s="35"/>
      <c r="I221" s="48">
        <f t="shared" si="3"/>
        <v>0</v>
      </c>
      <c r="J221" s="36"/>
      <c r="K221" s="36"/>
      <c r="L221" s="39" t="e">
        <f>VLOOKUP('Time Tracking'!$D221,Lists!O:P,2,FALSE)</f>
        <v>#N/A</v>
      </c>
      <c r="M221" s="51" t="e">
        <f>VLOOKUP(C221,Lists!$R$1:$S$15,2,FALSE)</f>
        <v>#N/A</v>
      </c>
      <c r="N221" s="37"/>
    </row>
    <row r="222" spans="1:14" s="24" customFormat="1" x14ac:dyDescent="0.25">
      <c r="A222" s="32"/>
      <c r="B222" s="33"/>
      <c r="C222" s="33"/>
      <c r="D222" s="33"/>
      <c r="E222" s="44" t="e">
        <f>VLOOKUP(A222,Lists!$U$1:$V$121,2,FALSE)</f>
        <v>#N/A</v>
      </c>
      <c r="F222" s="34"/>
      <c r="G222" s="35"/>
      <c r="H222" s="35"/>
      <c r="I222" s="48">
        <f t="shared" si="3"/>
        <v>0</v>
      </c>
      <c r="J222" s="36"/>
      <c r="K222" s="36"/>
      <c r="L222" s="39" t="e">
        <f>VLOOKUP('Time Tracking'!$D222,Lists!O:P,2,FALSE)</f>
        <v>#N/A</v>
      </c>
      <c r="M222" s="51" t="e">
        <f>VLOOKUP(C222,Lists!$R$1:$S$15,2,FALSE)</f>
        <v>#N/A</v>
      </c>
      <c r="N222" s="37"/>
    </row>
    <row r="223" spans="1:14" s="24" customFormat="1" x14ac:dyDescent="0.25">
      <c r="A223" s="32"/>
      <c r="B223" s="33"/>
      <c r="C223" s="33"/>
      <c r="D223" s="33"/>
      <c r="E223" s="44" t="e">
        <f>VLOOKUP(A223,Lists!$U$1:$V$121,2,FALSE)</f>
        <v>#N/A</v>
      </c>
      <c r="F223" s="34"/>
      <c r="G223" s="35"/>
      <c r="H223" s="35"/>
      <c r="I223" s="48">
        <f t="shared" si="3"/>
        <v>0</v>
      </c>
      <c r="J223" s="36"/>
      <c r="K223" s="36"/>
      <c r="L223" s="39" t="e">
        <f>VLOOKUP('Time Tracking'!$D223,Lists!O:P,2,FALSE)</f>
        <v>#N/A</v>
      </c>
      <c r="M223" s="51" t="e">
        <f>VLOOKUP(C223,Lists!$R$1:$S$15,2,FALSE)</f>
        <v>#N/A</v>
      </c>
      <c r="N223" s="37"/>
    </row>
    <row r="224" spans="1:14" s="24" customFormat="1" x14ac:dyDescent="0.25">
      <c r="A224" s="32"/>
      <c r="B224" s="33"/>
      <c r="C224" s="33"/>
      <c r="D224" s="33"/>
      <c r="E224" s="44" t="e">
        <f>VLOOKUP(A224,Lists!$U$1:$V$121,2,FALSE)</f>
        <v>#N/A</v>
      </c>
      <c r="F224" s="34"/>
      <c r="G224" s="35"/>
      <c r="H224" s="35"/>
      <c r="I224" s="48">
        <f t="shared" si="3"/>
        <v>0</v>
      </c>
      <c r="J224" s="36"/>
      <c r="K224" s="36"/>
      <c r="L224" s="39" t="e">
        <f>VLOOKUP('Time Tracking'!$D224,Lists!O:P,2,FALSE)</f>
        <v>#N/A</v>
      </c>
      <c r="M224" s="51" t="e">
        <f>VLOOKUP(C224,Lists!$R$1:$S$15,2,FALSE)</f>
        <v>#N/A</v>
      </c>
      <c r="N224" s="37"/>
    </row>
    <row r="225" spans="1:14" s="24" customFormat="1" x14ac:dyDescent="0.25">
      <c r="A225" s="32"/>
      <c r="B225" s="33"/>
      <c r="C225" s="33"/>
      <c r="D225" s="33"/>
      <c r="E225" s="44" t="e">
        <f>VLOOKUP(A225,Lists!$U$1:$V$121,2,FALSE)</f>
        <v>#N/A</v>
      </c>
      <c r="F225" s="34"/>
      <c r="G225" s="35"/>
      <c r="H225" s="35"/>
      <c r="I225" s="48">
        <f t="shared" si="3"/>
        <v>0</v>
      </c>
      <c r="J225" s="36"/>
      <c r="K225" s="36"/>
      <c r="L225" s="39" t="e">
        <f>VLOOKUP('Time Tracking'!$D225,Lists!O:P,2,FALSE)</f>
        <v>#N/A</v>
      </c>
      <c r="M225" s="51" t="e">
        <f>VLOOKUP(C225,Lists!$R$1:$S$15,2,FALSE)</f>
        <v>#N/A</v>
      </c>
      <c r="N225" s="37"/>
    </row>
    <row r="226" spans="1:14" s="24" customFormat="1" x14ac:dyDescent="0.25">
      <c r="A226" s="32"/>
      <c r="B226" s="33"/>
      <c r="C226" s="33"/>
      <c r="D226" s="33"/>
      <c r="E226" s="44" t="e">
        <f>VLOOKUP(A226,Lists!$U$1:$V$121,2,FALSE)</f>
        <v>#N/A</v>
      </c>
      <c r="F226" s="34"/>
      <c r="G226" s="35"/>
      <c r="H226" s="35"/>
      <c r="I226" s="48">
        <f t="shared" si="3"/>
        <v>0</v>
      </c>
      <c r="J226" s="36"/>
      <c r="K226" s="36"/>
      <c r="L226" s="39" t="e">
        <f>VLOOKUP('Time Tracking'!$D226,Lists!O:P,2,FALSE)</f>
        <v>#N/A</v>
      </c>
      <c r="M226" s="51" t="e">
        <f>VLOOKUP(C226,Lists!$R$1:$S$15,2,FALSE)</f>
        <v>#N/A</v>
      </c>
      <c r="N226" s="37"/>
    </row>
    <row r="227" spans="1:14" s="24" customFormat="1" x14ac:dyDescent="0.25">
      <c r="A227" s="32"/>
      <c r="B227" s="33"/>
      <c r="C227" s="33"/>
      <c r="D227" s="33"/>
      <c r="E227" s="44" t="e">
        <f>VLOOKUP(A227,Lists!$U$1:$V$121,2,FALSE)</f>
        <v>#N/A</v>
      </c>
      <c r="F227" s="34"/>
      <c r="G227" s="35"/>
      <c r="H227" s="35"/>
      <c r="I227" s="48">
        <f t="shared" si="3"/>
        <v>0</v>
      </c>
      <c r="J227" s="36"/>
      <c r="K227" s="36"/>
      <c r="L227" s="39" t="e">
        <f>VLOOKUP('Time Tracking'!$D227,Lists!O:P,2,FALSE)</f>
        <v>#N/A</v>
      </c>
      <c r="M227" s="51" t="e">
        <f>VLOOKUP(C227,Lists!$R$1:$S$15,2,FALSE)</f>
        <v>#N/A</v>
      </c>
      <c r="N227" s="37"/>
    </row>
    <row r="228" spans="1:14" s="24" customFormat="1" x14ac:dyDescent="0.25">
      <c r="A228" s="32"/>
      <c r="B228" s="33"/>
      <c r="C228" s="33"/>
      <c r="D228" s="33"/>
      <c r="E228" s="44" t="e">
        <f>VLOOKUP(A228,Lists!$U$1:$V$121,2,FALSE)</f>
        <v>#N/A</v>
      </c>
      <c r="F228" s="34"/>
      <c r="G228" s="35"/>
      <c r="H228" s="35"/>
      <c r="I228" s="48">
        <f t="shared" si="3"/>
        <v>0</v>
      </c>
      <c r="J228" s="36"/>
      <c r="K228" s="36"/>
      <c r="L228" s="39" t="e">
        <f>VLOOKUP('Time Tracking'!$D228,Lists!O:P,2,FALSE)</f>
        <v>#N/A</v>
      </c>
      <c r="M228" s="51" t="e">
        <f>VLOOKUP(C228,Lists!$R$1:$S$15,2,FALSE)</f>
        <v>#N/A</v>
      </c>
      <c r="N228" s="37"/>
    </row>
    <row r="229" spans="1:14" s="24" customFormat="1" x14ac:dyDescent="0.25">
      <c r="A229" s="32"/>
      <c r="B229" s="33"/>
      <c r="C229" s="33"/>
      <c r="D229" s="33"/>
      <c r="E229" s="44" t="e">
        <f>VLOOKUP(A229,Lists!$U$1:$V$121,2,FALSE)</f>
        <v>#N/A</v>
      </c>
      <c r="F229" s="34"/>
      <c r="G229" s="35"/>
      <c r="H229" s="35"/>
      <c r="I229" s="48">
        <f t="shared" si="3"/>
        <v>0</v>
      </c>
      <c r="J229" s="36"/>
      <c r="K229" s="36"/>
      <c r="L229" s="39" t="e">
        <f>VLOOKUP('Time Tracking'!$D229,Lists!O:P,2,FALSE)</f>
        <v>#N/A</v>
      </c>
      <c r="M229" s="51" t="e">
        <f>VLOOKUP(C229,Lists!$R$1:$S$15,2,FALSE)</f>
        <v>#N/A</v>
      </c>
      <c r="N229" s="37"/>
    </row>
    <row r="230" spans="1:14" s="24" customFormat="1" x14ac:dyDescent="0.25">
      <c r="A230" s="32"/>
      <c r="B230" s="33"/>
      <c r="C230" s="33"/>
      <c r="D230" s="33"/>
      <c r="E230" s="44" t="e">
        <f>VLOOKUP(A230,Lists!$U$1:$V$121,2,FALSE)</f>
        <v>#N/A</v>
      </c>
      <c r="F230" s="34"/>
      <c r="G230" s="35"/>
      <c r="H230" s="35"/>
      <c r="I230" s="48">
        <f t="shared" si="3"/>
        <v>0</v>
      </c>
      <c r="J230" s="36"/>
      <c r="K230" s="36"/>
      <c r="L230" s="39" t="e">
        <f>VLOOKUP('Time Tracking'!$D230,Lists!O:P,2,FALSE)</f>
        <v>#N/A</v>
      </c>
      <c r="M230" s="51" t="e">
        <f>VLOOKUP(C230,Lists!$R$1:$S$15,2,FALSE)</f>
        <v>#N/A</v>
      </c>
      <c r="N230" s="37"/>
    </row>
    <row r="231" spans="1:14" s="24" customFormat="1" x14ac:dyDescent="0.25">
      <c r="A231" s="32"/>
      <c r="B231" s="33"/>
      <c r="C231" s="33"/>
      <c r="D231" s="33"/>
      <c r="E231" s="44" t="e">
        <f>VLOOKUP(A231,Lists!$U$1:$V$121,2,FALSE)</f>
        <v>#N/A</v>
      </c>
      <c r="F231" s="34"/>
      <c r="G231" s="35"/>
      <c r="H231" s="35"/>
      <c r="I231" s="48">
        <f t="shared" si="3"/>
        <v>0</v>
      </c>
      <c r="J231" s="36"/>
      <c r="K231" s="36"/>
      <c r="L231" s="39" t="e">
        <f>VLOOKUP('Time Tracking'!$D231,Lists!O:P,2,FALSE)</f>
        <v>#N/A</v>
      </c>
      <c r="M231" s="51" t="e">
        <f>VLOOKUP(C231,Lists!$R$1:$S$15,2,FALSE)</f>
        <v>#N/A</v>
      </c>
      <c r="N231" s="37"/>
    </row>
    <row r="232" spans="1:14" s="24" customFormat="1" x14ac:dyDescent="0.25">
      <c r="A232" s="32"/>
      <c r="B232" s="33"/>
      <c r="C232" s="33"/>
      <c r="D232" s="33"/>
      <c r="E232" s="44" t="e">
        <f>VLOOKUP(A232,Lists!$U$1:$V$121,2,FALSE)</f>
        <v>#N/A</v>
      </c>
      <c r="F232" s="34"/>
      <c r="G232" s="35"/>
      <c r="H232" s="35"/>
      <c r="I232" s="48">
        <f t="shared" si="3"/>
        <v>0</v>
      </c>
      <c r="J232" s="36"/>
      <c r="K232" s="36"/>
      <c r="L232" s="39" t="e">
        <f>VLOOKUP('Time Tracking'!$D232,Lists!O:P,2,FALSE)</f>
        <v>#N/A</v>
      </c>
      <c r="M232" s="51" t="e">
        <f>VLOOKUP(C232,Lists!$R$1:$S$15,2,FALSE)</f>
        <v>#N/A</v>
      </c>
      <c r="N232" s="37"/>
    </row>
    <row r="233" spans="1:14" s="24" customFormat="1" x14ac:dyDescent="0.25">
      <c r="A233" s="32"/>
      <c r="B233" s="33"/>
      <c r="C233" s="33"/>
      <c r="D233" s="33"/>
      <c r="E233" s="44" t="e">
        <f>VLOOKUP(A233,Lists!$U$1:$V$121,2,FALSE)</f>
        <v>#N/A</v>
      </c>
      <c r="F233" s="34"/>
      <c r="G233" s="35"/>
      <c r="H233" s="35"/>
      <c r="I233" s="48">
        <f t="shared" si="3"/>
        <v>0</v>
      </c>
      <c r="J233" s="36"/>
      <c r="K233" s="36"/>
      <c r="L233" s="39" t="e">
        <f>VLOOKUP('Time Tracking'!$D233,Lists!O:P,2,FALSE)</f>
        <v>#N/A</v>
      </c>
      <c r="M233" s="51" t="e">
        <f>VLOOKUP(C233,Lists!$R$1:$S$15,2,FALSE)</f>
        <v>#N/A</v>
      </c>
      <c r="N233" s="37"/>
    </row>
    <row r="234" spans="1:14" s="24" customFormat="1" x14ac:dyDescent="0.25">
      <c r="A234" s="32"/>
      <c r="B234" s="33"/>
      <c r="C234" s="33"/>
      <c r="D234" s="33"/>
      <c r="E234" s="44" t="e">
        <f>VLOOKUP(A234,Lists!$U$1:$V$121,2,FALSE)</f>
        <v>#N/A</v>
      </c>
      <c r="F234" s="34"/>
      <c r="G234" s="35"/>
      <c r="H234" s="35"/>
      <c r="I234" s="48">
        <f t="shared" si="3"/>
        <v>0</v>
      </c>
      <c r="J234" s="36"/>
      <c r="K234" s="36"/>
      <c r="L234" s="39" t="e">
        <f>VLOOKUP('Time Tracking'!$D234,Lists!O:P,2,FALSE)</f>
        <v>#N/A</v>
      </c>
      <c r="M234" s="51" t="e">
        <f>VLOOKUP(C234,Lists!$R$1:$S$15,2,FALSE)</f>
        <v>#N/A</v>
      </c>
      <c r="N234" s="37"/>
    </row>
    <row r="235" spans="1:14" s="24" customFormat="1" x14ac:dyDescent="0.25">
      <c r="A235" s="32"/>
      <c r="B235" s="33"/>
      <c r="C235" s="33"/>
      <c r="D235" s="33"/>
      <c r="E235" s="44" t="e">
        <f>VLOOKUP(A235,Lists!$U$1:$V$121,2,FALSE)</f>
        <v>#N/A</v>
      </c>
      <c r="F235" s="34"/>
      <c r="G235" s="35"/>
      <c r="H235" s="35"/>
      <c r="I235" s="48">
        <f t="shared" si="3"/>
        <v>0</v>
      </c>
      <c r="J235" s="36"/>
      <c r="K235" s="36"/>
      <c r="L235" s="39" t="e">
        <f>VLOOKUP('Time Tracking'!$D235,Lists!O:P,2,FALSE)</f>
        <v>#N/A</v>
      </c>
      <c r="M235" s="51" t="e">
        <f>VLOOKUP(C235,Lists!$R$1:$S$15,2,FALSE)</f>
        <v>#N/A</v>
      </c>
      <c r="N235" s="37"/>
    </row>
    <row r="236" spans="1:14" s="24" customFormat="1" x14ac:dyDescent="0.25">
      <c r="A236" s="32"/>
      <c r="B236" s="33"/>
      <c r="C236" s="33"/>
      <c r="D236" s="33"/>
      <c r="E236" s="44" t="e">
        <f>VLOOKUP(A236,Lists!$U$1:$V$121,2,FALSE)</f>
        <v>#N/A</v>
      </c>
      <c r="F236" s="34"/>
      <c r="G236" s="35"/>
      <c r="H236" s="35"/>
      <c r="I236" s="48">
        <f t="shared" si="3"/>
        <v>0</v>
      </c>
      <c r="J236" s="36"/>
      <c r="K236" s="36"/>
      <c r="L236" s="39" t="e">
        <f>VLOOKUP('Time Tracking'!$D236,Lists!O:P,2,FALSE)</f>
        <v>#N/A</v>
      </c>
      <c r="M236" s="51" t="e">
        <f>VLOOKUP(C236,Lists!$R$1:$S$15,2,FALSE)</f>
        <v>#N/A</v>
      </c>
      <c r="N236" s="37"/>
    </row>
    <row r="237" spans="1:14" s="24" customFormat="1" x14ac:dyDescent="0.25">
      <c r="A237" s="32"/>
      <c r="B237" s="33"/>
      <c r="C237" s="33"/>
      <c r="D237" s="33"/>
      <c r="E237" s="44" t="e">
        <f>VLOOKUP(A237,Lists!$U$1:$V$121,2,FALSE)</f>
        <v>#N/A</v>
      </c>
      <c r="F237" s="34"/>
      <c r="G237" s="35"/>
      <c r="H237" s="35"/>
      <c r="I237" s="48">
        <f t="shared" si="3"/>
        <v>0</v>
      </c>
      <c r="J237" s="36"/>
      <c r="K237" s="36"/>
      <c r="L237" s="39" t="e">
        <f>VLOOKUP('Time Tracking'!$D237,Lists!O:P,2,FALSE)</f>
        <v>#N/A</v>
      </c>
      <c r="M237" s="51" t="e">
        <f>VLOOKUP(C237,Lists!$R$1:$S$15,2,FALSE)</f>
        <v>#N/A</v>
      </c>
      <c r="N237" s="37"/>
    </row>
    <row r="238" spans="1:14" s="24" customFormat="1" x14ac:dyDescent="0.25">
      <c r="A238" s="32"/>
      <c r="B238" s="33"/>
      <c r="C238" s="33"/>
      <c r="D238" s="33"/>
      <c r="E238" s="44" t="e">
        <f>VLOOKUP(A238,Lists!$U$1:$V$121,2,FALSE)</f>
        <v>#N/A</v>
      </c>
      <c r="F238" s="34"/>
      <c r="G238" s="35"/>
      <c r="H238" s="35"/>
      <c r="I238" s="48">
        <f t="shared" si="3"/>
        <v>0</v>
      </c>
      <c r="J238" s="36"/>
      <c r="K238" s="36"/>
      <c r="L238" s="39" t="e">
        <f>VLOOKUP('Time Tracking'!$D238,Lists!O:P,2,FALSE)</f>
        <v>#N/A</v>
      </c>
      <c r="M238" s="51" t="e">
        <f>VLOOKUP(C238,Lists!$R$1:$S$15,2,FALSE)</f>
        <v>#N/A</v>
      </c>
      <c r="N238" s="37"/>
    </row>
    <row r="239" spans="1:14" s="24" customFormat="1" x14ac:dyDescent="0.25">
      <c r="A239" s="32"/>
      <c r="B239" s="33"/>
      <c r="C239" s="33"/>
      <c r="D239" s="33"/>
      <c r="E239" s="44" t="e">
        <f>VLOOKUP(A239,Lists!$U$1:$V$121,2,FALSE)</f>
        <v>#N/A</v>
      </c>
      <c r="F239" s="34"/>
      <c r="G239" s="35"/>
      <c r="H239" s="35"/>
      <c r="I239" s="48">
        <f t="shared" si="3"/>
        <v>0</v>
      </c>
      <c r="J239" s="36"/>
      <c r="K239" s="36"/>
      <c r="L239" s="39" t="e">
        <f>VLOOKUP('Time Tracking'!$D239,Lists!O:P,2,FALSE)</f>
        <v>#N/A</v>
      </c>
      <c r="M239" s="51" t="e">
        <f>VLOOKUP(C239,Lists!$R$1:$S$15,2,FALSE)</f>
        <v>#N/A</v>
      </c>
      <c r="N239" s="37"/>
    </row>
    <row r="240" spans="1:14" s="24" customFormat="1" x14ac:dyDescent="0.25">
      <c r="A240" s="32"/>
      <c r="B240" s="33"/>
      <c r="C240" s="33"/>
      <c r="D240" s="33"/>
      <c r="E240" s="44" t="e">
        <f>VLOOKUP(A240,Lists!$U$1:$V$121,2,FALSE)</f>
        <v>#N/A</v>
      </c>
      <c r="F240" s="34"/>
      <c r="G240" s="35"/>
      <c r="H240" s="35"/>
      <c r="I240" s="48">
        <f t="shared" si="3"/>
        <v>0</v>
      </c>
      <c r="J240" s="36"/>
      <c r="K240" s="36"/>
      <c r="L240" s="39" t="e">
        <f>VLOOKUP('Time Tracking'!$D240,Lists!O:P,2,FALSE)</f>
        <v>#N/A</v>
      </c>
      <c r="M240" s="51" t="e">
        <f>VLOOKUP(C240,Lists!$R$1:$S$15,2,FALSE)</f>
        <v>#N/A</v>
      </c>
      <c r="N240" s="37"/>
    </row>
    <row r="241" spans="1:14" s="24" customFormat="1" x14ac:dyDescent="0.25">
      <c r="A241" s="32"/>
      <c r="B241" s="33"/>
      <c r="C241" s="33"/>
      <c r="D241" s="33"/>
      <c r="E241" s="44" t="e">
        <f>VLOOKUP(A241,Lists!$U$1:$V$121,2,FALSE)</f>
        <v>#N/A</v>
      </c>
      <c r="F241" s="34"/>
      <c r="G241" s="35"/>
      <c r="H241" s="35"/>
      <c r="I241" s="48">
        <f t="shared" si="3"/>
        <v>0</v>
      </c>
      <c r="J241" s="36"/>
      <c r="K241" s="36"/>
      <c r="L241" s="39" t="e">
        <f>VLOOKUP('Time Tracking'!$D241,Lists!O:P,2,FALSE)</f>
        <v>#N/A</v>
      </c>
      <c r="M241" s="51" t="e">
        <f>VLOOKUP(C241,Lists!$R$1:$S$15,2,FALSE)</f>
        <v>#N/A</v>
      </c>
      <c r="N241" s="37"/>
    </row>
    <row r="242" spans="1:14" s="24" customFormat="1" x14ac:dyDescent="0.25">
      <c r="A242" s="32"/>
      <c r="B242" s="33"/>
      <c r="C242" s="33"/>
      <c r="D242" s="33"/>
      <c r="E242" s="44" t="e">
        <f>VLOOKUP(A242,Lists!$U$1:$V$121,2,FALSE)</f>
        <v>#N/A</v>
      </c>
      <c r="F242" s="34"/>
      <c r="G242" s="35"/>
      <c r="H242" s="35"/>
      <c r="I242" s="48">
        <f t="shared" si="3"/>
        <v>0</v>
      </c>
      <c r="J242" s="36"/>
      <c r="K242" s="36"/>
      <c r="L242" s="39" t="e">
        <f>VLOOKUP('Time Tracking'!$D242,Lists!O:P,2,FALSE)</f>
        <v>#N/A</v>
      </c>
      <c r="M242" s="51" t="e">
        <f>VLOOKUP(C242,Lists!$R$1:$S$15,2,FALSE)</f>
        <v>#N/A</v>
      </c>
      <c r="N242" s="37"/>
    </row>
    <row r="243" spans="1:14" s="24" customFormat="1" x14ac:dyDescent="0.25">
      <c r="A243" s="32"/>
      <c r="B243" s="33"/>
      <c r="C243" s="33"/>
      <c r="D243" s="33"/>
      <c r="E243" s="44" t="e">
        <f>VLOOKUP(A243,Lists!$U$1:$V$121,2,FALSE)</f>
        <v>#N/A</v>
      </c>
      <c r="F243" s="34"/>
      <c r="G243" s="35"/>
      <c r="H243" s="35"/>
      <c r="I243" s="48">
        <f t="shared" si="3"/>
        <v>0</v>
      </c>
      <c r="J243" s="36"/>
      <c r="K243" s="36"/>
      <c r="L243" s="39" t="e">
        <f>VLOOKUP('Time Tracking'!$D243,Lists!O:P,2,FALSE)</f>
        <v>#N/A</v>
      </c>
      <c r="M243" s="51" t="e">
        <f>VLOOKUP(C243,Lists!$R$1:$S$15,2,FALSE)</f>
        <v>#N/A</v>
      </c>
      <c r="N243" s="37"/>
    </row>
    <row r="244" spans="1:14" s="24" customFormat="1" x14ac:dyDescent="0.25">
      <c r="A244" s="32"/>
      <c r="B244" s="33"/>
      <c r="C244" s="33"/>
      <c r="D244" s="33"/>
      <c r="E244" s="44" t="e">
        <f>VLOOKUP(A244,Lists!$U$1:$V$121,2,FALSE)</f>
        <v>#N/A</v>
      </c>
      <c r="F244" s="34"/>
      <c r="G244" s="35"/>
      <c r="H244" s="35"/>
      <c r="I244" s="48">
        <f t="shared" si="3"/>
        <v>0</v>
      </c>
      <c r="J244" s="36"/>
      <c r="K244" s="36"/>
      <c r="L244" s="39" t="e">
        <f>VLOOKUP('Time Tracking'!$D244,Lists!O:P,2,FALSE)</f>
        <v>#N/A</v>
      </c>
      <c r="M244" s="51" t="e">
        <f>VLOOKUP(C244,Lists!$R$1:$S$15,2,FALSE)</f>
        <v>#N/A</v>
      </c>
      <c r="N244" s="37"/>
    </row>
    <row r="245" spans="1:14" s="24" customFormat="1" x14ac:dyDescent="0.25">
      <c r="A245" s="32"/>
      <c r="B245" s="33"/>
      <c r="C245" s="33"/>
      <c r="D245" s="33"/>
      <c r="E245" s="44" t="e">
        <f>VLOOKUP(A245,Lists!$U$1:$V$121,2,FALSE)</f>
        <v>#N/A</v>
      </c>
      <c r="F245" s="34"/>
      <c r="G245" s="35"/>
      <c r="H245" s="35"/>
      <c r="I245" s="48">
        <f t="shared" si="3"/>
        <v>0</v>
      </c>
      <c r="J245" s="36"/>
      <c r="K245" s="36"/>
      <c r="L245" s="39" t="e">
        <f>VLOOKUP('Time Tracking'!$D245,Lists!O:P,2,FALSE)</f>
        <v>#N/A</v>
      </c>
      <c r="M245" s="51" t="e">
        <f>VLOOKUP(C245,Lists!$R$1:$S$15,2,FALSE)</f>
        <v>#N/A</v>
      </c>
      <c r="N245" s="37"/>
    </row>
    <row r="246" spans="1:14" s="24" customFormat="1" x14ac:dyDescent="0.25">
      <c r="A246" s="32"/>
      <c r="B246" s="33"/>
      <c r="C246" s="33"/>
      <c r="D246" s="33"/>
      <c r="E246" s="44" t="e">
        <f>VLOOKUP(A246,Lists!$U$1:$V$121,2,FALSE)</f>
        <v>#N/A</v>
      </c>
      <c r="F246" s="34"/>
      <c r="G246" s="35"/>
      <c r="H246" s="35"/>
      <c r="I246" s="48">
        <f t="shared" si="3"/>
        <v>0</v>
      </c>
      <c r="J246" s="36"/>
      <c r="K246" s="36"/>
      <c r="L246" s="39" t="e">
        <f>VLOOKUP('Time Tracking'!$D246,Lists!O:P,2,FALSE)</f>
        <v>#N/A</v>
      </c>
      <c r="M246" s="51" t="e">
        <f>VLOOKUP(C246,Lists!$R$1:$S$15,2,FALSE)</f>
        <v>#N/A</v>
      </c>
      <c r="N246" s="37"/>
    </row>
    <row r="247" spans="1:14" s="24" customFormat="1" x14ac:dyDescent="0.25">
      <c r="A247" s="32"/>
      <c r="B247" s="33"/>
      <c r="C247" s="33"/>
      <c r="D247" s="33"/>
      <c r="E247" s="44" t="e">
        <f>VLOOKUP(A247,Lists!$U$1:$V$121,2,FALSE)</f>
        <v>#N/A</v>
      </c>
      <c r="F247" s="34"/>
      <c r="G247" s="35"/>
      <c r="H247" s="35"/>
      <c r="I247" s="48">
        <f t="shared" si="3"/>
        <v>0</v>
      </c>
      <c r="J247" s="36"/>
      <c r="K247" s="36"/>
      <c r="L247" s="39" t="e">
        <f>VLOOKUP('Time Tracking'!$D247,Lists!O:P,2,FALSE)</f>
        <v>#N/A</v>
      </c>
      <c r="M247" s="51" t="e">
        <f>VLOOKUP(C247,Lists!$R$1:$S$15,2,FALSE)</f>
        <v>#N/A</v>
      </c>
      <c r="N247" s="37"/>
    </row>
    <row r="248" spans="1:14" s="24" customFormat="1" x14ac:dyDescent="0.25">
      <c r="A248" s="32"/>
      <c r="B248" s="33"/>
      <c r="C248" s="33"/>
      <c r="D248" s="33"/>
      <c r="E248" s="44" t="e">
        <f>VLOOKUP(A248,Lists!$U$1:$V$121,2,FALSE)</f>
        <v>#N/A</v>
      </c>
      <c r="F248" s="34"/>
      <c r="G248" s="35"/>
      <c r="H248" s="35"/>
      <c r="I248" s="48">
        <f t="shared" si="3"/>
        <v>0</v>
      </c>
      <c r="J248" s="36"/>
      <c r="K248" s="36"/>
      <c r="L248" s="39" t="e">
        <f>VLOOKUP('Time Tracking'!$D248,Lists!O:P,2,FALSE)</f>
        <v>#N/A</v>
      </c>
      <c r="M248" s="51" t="e">
        <f>VLOOKUP(C248,Lists!$R$1:$S$15,2,FALSE)</f>
        <v>#N/A</v>
      </c>
      <c r="N248" s="37"/>
    </row>
    <row r="249" spans="1:14" s="24" customFormat="1" x14ac:dyDescent="0.25">
      <c r="A249" s="32"/>
      <c r="B249" s="33"/>
      <c r="C249" s="33"/>
      <c r="D249" s="33"/>
      <c r="E249" s="44" t="e">
        <f>VLOOKUP(A249,Lists!$U$1:$V$121,2,FALSE)</f>
        <v>#N/A</v>
      </c>
      <c r="F249" s="34"/>
      <c r="G249" s="35"/>
      <c r="H249" s="35"/>
      <c r="I249" s="48">
        <f t="shared" si="3"/>
        <v>0</v>
      </c>
      <c r="J249" s="36"/>
      <c r="K249" s="36"/>
      <c r="L249" s="39" t="e">
        <f>VLOOKUP('Time Tracking'!$D249,Lists!O:P,2,FALSE)</f>
        <v>#N/A</v>
      </c>
      <c r="M249" s="51" t="e">
        <f>VLOOKUP(C249,Lists!$R$1:$S$15,2,FALSE)</f>
        <v>#N/A</v>
      </c>
      <c r="N249" s="37"/>
    </row>
    <row r="250" spans="1:14" s="24" customFormat="1" x14ac:dyDescent="0.25">
      <c r="A250" s="32"/>
      <c r="B250" s="33"/>
      <c r="C250" s="33"/>
      <c r="D250" s="33"/>
      <c r="E250" s="44" t="e">
        <f>VLOOKUP(A250,Lists!$U$1:$V$121,2,FALSE)</f>
        <v>#N/A</v>
      </c>
      <c r="F250" s="34"/>
      <c r="G250" s="35"/>
      <c r="H250" s="35"/>
      <c r="I250" s="48">
        <f t="shared" si="3"/>
        <v>0</v>
      </c>
      <c r="J250" s="36"/>
      <c r="K250" s="36"/>
      <c r="L250" s="39" t="e">
        <f>VLOOKUP('Time Tracking'!$D250,Lists!O:P,2,FALSE)</f>
        <v>#N/A</v>
      </c>
      <c r="M250" s="51" t="e">
        <f>VLOOKUP(C250,Lists!$R$1:$S$15,2,FALSE)</f>
        <v>#N/A</v>
      </c>
      <c r="N250" s="37"/>
    </row>
    <row r="251" spans="1:14" s="24" customFormat="1" x14ac:dyDescent="0.25">
      <c r="A251" s="32"/>
      <c r="B251" s="33"/>
      <c r="C251" s="33"/>
      <c r="D251" s="33"/>
      <c r="E251" s="44" t="e">
        <f>VLOOKUP(A251,Lists!$U$1:$V$121,2,FALSE)</f>
        <v>#N/A</v>
      </c>
      <c r="F251" s="34"/>
      <c r="G251" s="35"/>
      <c r="H251" s="35"/>
      <c r="I251" s="48">
        <f t="shared" si="3"/>
        <v>0</v>
      </c>
      <c r="J251" s="36"/>
      <c r="K251" s="36"/>
      <c r="L251" s="39" t="e">
        <f>VLOOKUP('Time Tracking'!$D251,Lists!O:P,2,FALSE)</f>
        <v>#N/A</v>
      </c>
      <c r="M251" s="51" t="e">
        <f>VLOOKUP(C251,Lists!$R$1:$S$15,2,FALSE)</f>
        <v>#N/A</v>
      </c>
      <c r="N251" s="37"/>
    </row>
    <row r="252" spans="1:14" s="24" customFormat="1" x14ac:dyDescent="0.25">
      <c r="A252" s="32"/>
      <c r="B252" s="33"/>
      <c r="C252" s="33"/>
      <c r="D252" s="33"/>
      <c r="E252" s="44" t="e">
        <f>VLOOKUP(A252,Lists!$U$1:$V$121,2,FALSE)</f>
        <v>#N/A</v>
      </c>
      <c r="F252" s="34"/>
      <c r="G252" s="35"/>
      <c r="H252" s="35"/>
      <c r="I252" s="48">
        <f t="shared" si="3"/>
        <v>0</v>
      </c>
      <c r="J252" s="36"/>
      <c r="K252" s="36"/>
      <c r="L252" s="39" t="e">
        <f>VLOOKUP('Time Tracking'!$D252,Lists!O:P,2,FALSE)</f>
        <v>#N/A</v>
      </c>
      <c r="M252" s="51" t="e">
        <f>VLOOKUP(C252,Lists!$R$1:$S$15,2,FALSE)</f>
        <v>#N/A</v>
      </c>
      <c r="N252" s="37"/>
    </row>
    <row r="253" spans="1:14" s="24" customFormat="1" x14ac:dyDescent="0.25">
      <c r="A253" s="32"/>
      <c r="B253" s="33"/>
      <c r="C253" s="33"/>
      <c r="D253" s="33"/>
      <c r="E253" s="44" t="e">
        <f>VLOOKUP(A253,Lists!$U$1:$V$121,2,FALSE)</f>
        <v>#N/A</v>
      </c>
      <c r="F253" s="34"/>
      <c r="G253" s="35"/>
      <c r="H253" s="35"/>
      <c r="I253" s="48">
        <f t="shared" si="3"/>
        <v>0</v>
      </c>
      <c r="J253" s="36"/>
      <c r="K253" s="36"/>
      <c r="L253" s="39" t="e">
        <f>VLOOKUP('Time Tracking'!$D253,Lists!O:P,2,FALSE)</f>
        <v>#N/A</v>
      </c>
      <c r="M253" s="51" t="e">
        <f>VLOOKUP(C253,Lists!$R$1:$S$15,2,FALSE)</f>
        <v>#N/A</v>
      </c>
      <c r="N253" s="37"/>
    </row>
    <row r="254" spans="1:14" s="24" customFormat="1" x14ac:dyDescent="0.25">
      <c r="A254" s="32"/>
      <c r="B254" s="33"/>
      <c r="C254" s="33"/>
      <c r="D254" s="33"/>
      <c r="E254" s="44" t="e">
        <f>VLOOKUP(A254,Lists!$U$1:$V$121,2,FALSE)</f>
        <v>#N/A</v>
      </c>
      <c r="F254" s="34"/>
      <c r="G254" s="35"/>
      <c r="H254" s="35"/>
      <c r="I254" s="48">
        <f t="shared" si="3"/>
        <v>0</v>
      </c>
      <c r="J254" s="36"/>
      <c r="K254" s="36"/>
      <c r="L254" s="39" t="e">
        <f>VLOOKUP('Time Tracking'!$D254,Lists!O:P,2,FALSE)</f>
        <v>#N/A</v>
      </c>
      <c r="M254" s="51" t="e">
        <f>VLOOKUP(C254,Lists!$R$1:$S$15,2,FALSE)</f>
        <v>#N/A</v>
      </c>
      <c r="N254" s="37"/>
    </row>
    <row r="255" spans="1:14" s="24" customFormat="1" x14ac:dyDescent="0.25">
      <c r="A255" s="32"/>
      <c r="B255" s="33"/>
      <c r="C255" s="33"/>
      <c r="D255" s="33"/>
      <c r="E255" s="44" t="e">
        <f>VLOOKUP(A255,Lists!$U$1:$V$121,2,FALSE)</f>
        <v>#N/A</v>
      </c>
      <c r="F255" s="34"/>
      <c r="G255" s="35"/>
      <c r="H255" s="35"/>
      <c r="I255" s="48">
        <f t="shared" si="3"/>
        <v>0</v>
      </c>
      <c r="J255" s="36"/>
      <c r="K255" s="36"/>
      <c r="L255" s="39" t="e">
        <f>VLOOKUP('Time Tracking'!$D255,Lists!O:P,2,FALSE)</f>
        <v>#N/A</v>
      </c>
      <c r="M255" s="51" t="e">
        <f>VLOOKUP(C255,Lists!$R$1:$S$15,2,FALSE)</f>
        <v>#N/A</v>
      </c>
      <c r="N255" s="37"/>
    </row>
    <row r="256" spans="1:14" s="24" customFormat="1" x14ac:dyDescent="0.25">
      <c r="A256" s="32"/>
      <c r="B256" s="33"/>
      <c r="C256" s="33"/>
      <c r="D256" s="33"/>
      <c r="E256" s="44" t="e">
        <f>VLOOKUP(A256,Lists!$U$1:$V$121,2,FALSE)</f>
        <v>#N/A</v>
      </c>
      <c r="F256" s="34"/>
      <c r="G256" s="35"/>
      <c r="H256" s="35"/>
      <c r="I256" s="48">
        <f t="shared" si="3"/>
        <v>0</v>
      </c>
      <c r="J256" s="36"/>
      <c r="K256" s="36"/>
      <c r="L256" s="39" t="e">
        <f>VLOOKUP('Time Tracking'!$D256,Lists!O:P,2,FALSE)</f>
        <v>#N/A</v>
      </c>
      <c r="M256" s="51" t="e">
        <f>VLOOKUP(C256,Lists!$R$1:$S$15,2,FALSE)</f>
        <v>#N/A</v>
      </c>
      <c r="N256" s="37"/>
    </row>
    <row r="257" spans="1:14" s="24" customFormat="1" x14ac:dyDescent="0.25">
      <c r="A257" s="32"/>
      <c r="B257" s="33"/>
      <c r="C257" s="33"/>
      <c r="D257" s="33"/>
      <c r="E257" s="44" t="e">
        <f>VLOOKUP(A257,Lists!$U$1:$V$121,2,FALSE)</f>
        <v>#N/A</v>
      </c>
      <c r="F257" s="34"/>
      <c r="G257" s="35"/>
      <c r="H257" s="35"/>
      <c r="I257" s="48">
        <f t="shared" si="3"/>
        <v>0</v>
      </c>
      <c r="J257" s="36"/>
      <c r="K257" s="36"/>
      <c r="L257" s="39" t="e">
        <f>VLOOKUP('Time Tracking'!$D257,Lists!O:P,2,FALSE)</f>
        <v>#N/A</v>
      </c>
      <c r="M257" s="51" t="e">
        <f>VLOOKUP(C257,Lists!$R$1:$S$15,2,FALSE)</f>
        <v>#N/A</v>
      </c>
      <c r="N257" s="37"/>
    </row>
    <row r="258" spans="1:14" s="24" customFormat="1" x14ac:dyDescent="0.25">
      <c r="A258" s="32"/>
      <c r="B258" s="33"/>
      <c r="C258" s="33"/>
      <c r="D258" s="33"/>
      <c r="E258" s="44" t="e">
        <f>VLOOKUP(A258,Lists!$U$1:$V$121,2,FALSE)</f>
        <v>#N/A</v>
      </c>
      <c r="F258" s="34"/>
      <c r="G258" s="35"/>
      <c r="H258" s="35"/>
      <c r="I258" s="48">
        <f t="shared" ref="I258:I321" si="4">(IFERROR(TEXT(H258-G258,"h:mm"),"0:00"))*24</f>
        <v>0</v>
      </c>
      <c r="J258" s="36"/>
      <c r="K258" s="36"/>
      <c r="L258" s="39" t="e">
        <f>VLOOKUP('Time Tracking'!$D258,Lists!O:P,2,FALSE)</f>
        <v>#N/A</v>
      </c>
      <c r="M258" s="51" t="e">
        <f>VLOOKUP(C258,Lists!$R$1:$S$15,2,FALSE)</f>
        <v>#N/A</v>
      </c>
      <c r="N258" s="37"/>
    </row>
    <row r="259" spans="1:14" s="24" customFormat="1" x14ac:dyDescent="0.25">
      <c r="A259" s="32"/>
      <c r="B259" s="33"/>
      <c r="C259" s="33"/>
      <c r="D259" s="33"/>
      <c r="E259" s="44" t="e">
        <f>VLOOKUP(A259,Lists!$U$1:$V$121,2,FALSE)</f>
        <v>#N/A</v>
      </c>
      <c r="F259" s="34"/>
      <c r="G259" s="35"/>
      <c r="H259" s="35"/>
      <c r="I259" s="48">
        <f t="shared" si="4"/>
        <v>0</v>
      </c>
      <c r="J259" s="36"/>
      <c r="K259" s="36"/>
      <c r="L259" s="39" t="e">
        <f>VLOOKUP('Time Tracking'!$D259,Lists!O:P,2,FALSE)</f>
        <v>#N/A</v>
      </c>
      <c r="M259" s="51" t="e">
        <f>VLOOKUP(C259,Lists!$R$1:$S$15,2,FALSE)</f>
        <v>#N/A</v>
      </c>
      <c r="N259" s="37"/>
    </row>
    <row r="260" spans="1:14" s="24" customFormat="1" x14ac:dyDescent="0.25">
      <c r="A260" s="32"/>
      <c r="B260" s="33"/>
      <c r="C260" s="33"/>
      <c r="D260" s="33"/>
      <c r="E260" s="44" t="e">
        <f>VLOOKUP(A260,Lists!$U$1:$V$121,2,FALSE)</f>
        <v>#N/A</v>
      </c>
      <c r="F260" s="34"/>
      <c r="G260" s="35"/>
      <c r="H260" s="35"/>
      <c r="I260" s="48">
        <f t="shared" si="4"/>
        <v>0</v>
      </c>
      <c r="J260" s="36"/>
      <c r="K260" s="36"/>
      <c r="L260" s="39" t="e">
        <f>VLOOKUP('Time Tracking'!$D260,Lists!O:P,2,FALSE)</f>
        <v>#N/A</v>
      </c>
      <c r="M260" s="51" t="e">
        <f>VLOOKUP(C260,Lists!$R$1:$S$15,2,FALSE)</f>
        <v>#N/A</v>
      </c>
      <c r="N260" s="37"/>
    </row>
    <row r="261" spans="1:14" s="24" customFormat="1" x14ac:dyDescent="0.25">
      <c r="A261" s="32"/>
      <c r="B261" s="33"/>
      <c r="C261" s="33"/>
      <c r="D261" s="33"/>
      <c r="E261" s="44" t="e">
        <f>VLOOKUP(A261,Lists!$U$1:$V$121,2,FALSE)</f>
        <v>#N/A</v>
      </c>
      <c r="F261" s="34"/>
      <c r="G261" s="35"/>
      <c r="H261" s="35"/>
      <c r="I261" s="48">
        <f t="shared" si="4"/>
        <v>0</v>
      </c>
      <c r="J261" s="36"/>
      <c r="K261" s="36"/>
      <c r="L261" s="39" t="e">
        <f>VLOOKUP('Time Tracking'!$D261,Lists!O:P,2,FALSE)</f>
        <v>#N/A</v>
      </c>
      <c r="M261" s="51" t="e">
        <f>VLOOKUP(C261,Lists!$R$1:$S$15,2,FALSE)</f>
        <v>#N/A</v>
      </c>
      <c r="N261" s="37"/>
    </row>
    <row r="262" spans="1:14" s="24" customFormat="1" x14ac:dyDescent="0.25">
      <c r="A262" s="32"/>
      <c r="B262" s="33"/>
      <c r="C262" s="33"/>
      <c r="D262" s="33"/>
      <c r="E262" s="44" t="e">
        <f>VLOOKUP(A262,Lists!$U$1:$V$121,2,FALSE)</f>
        <v>#N/A</v>
      </c>
      <c r="F262" s="34"/>
      <c r="G262" s="35"/>
      <c r="H262" s="35"/>
      <c r="I262" s="48">
        <f t="shared" si="4"/>
        <v>0</v>
      </c>
      <c r="J262" s="36"/>
      <c r="K262" s="36"/>
      <c r="L262" s="39" t="e">
        <f>VLOOKUP('Time Tracking'!$D262,Lists!O:P,2,FALSE)</f>
        <v>#N/A</v>
      </c>
      <c r="M262" s="51" t="e">
        <f>VLOOKUP(C262,Lists!$R$1:$S$15,2,FALSE)</f>
        <v>#N/A</v>
      </c>
      <c r="N262" s="37"/>
    </row>
    <row r="263" spans="1:14" s="24" customFormat="1" x14ac:dyDescent="0.25">
      <c r="A263" s="32"/>
      <c r="B263" s="33"/>
      <c r="C263" s="33"/>
      <c r="D263" s="33"/>
      <c r="E263" s="44" t="e">
        <f>VLOOKUP(A263,Lists!$U$1:$V$121,2,FALSE)</f>
        <v>#N/A</v>
      </c>
      <c r="F263" s="34"/>
      <c r="G263" s="35"/>
      <c r="H263" s="35"/>
      <c r="I263" s="48">
        <f t="shared" si="4"/>
        <v>0</v>
      </c>
      <c r="J263" s="36"/>
      <c r="K263" s="36"/>
      <c r="L263" s="39" t="e">
        <f>VLOOKUP('Time Tracking'!$D263,Lists!O:P,2,FALSE)</f>
        <v>#N/A</v>
      </c>
      <c r="M263" s="51" t="e">
        <f>VLOOKUP(C263,Lists!$R$1:$S$15,2,FALSE)</f>
        <v>#N/A</v>
      </c>
      <c r="N263" s="37"/>
    </row>
    <row r="264" spans="1:14" s="24" customFormat="1" x14ac:dyDescent="0.25">
      <c r="A264" s="32"/>
      <c r="B264" s="33"/>
      <c r="C264" s="33"/>
      <c r="D264" s="33"/>
      <c r="E264" s="44" t="e">
        <f>VLOOKUP(A264,Lists!$U$1:$V$121,2,FALSE)</f>
        <v>#N/A</v>
      </c>
      <c r="F264" s="34"/>
      <c r="G264" s="35"/>
      <c r="H264" s="35"/>
      <c r="I264" s="48">
        <f t="shared" si="4"/>
        <v>0</v>
      </c>
      <c r="J264" s="36"/>
      <c r="K264" s="36"/>
      <c r="L264" s="39" t="e">
        <f>VLOOKUP('Time Tracking'!$D264,Lists!O:P,2,FALSE)</f>
        <v>#N/A</v>
      </c>
      <c r="M264" s="51" t="e">
        <f>VLOOKUP(C264,Lists!$R$1:$S$15,2,FALSE)</f>
        <v>#N/A</v>
      </c>
      <c r="N264" s="37"/>
    </row>
    <row r="265" spans="1:14" s="24" customFormat="1" x14ac:dyDescent="0.25">
      <c r="A265" s="32"/>
      <c r="B265" s="33"/>
      <c r="C265" s="33"/>
      <c r="D265" s="33"/>
      <c r="E265" s="44" t="e">
        <f>VLOOKUP(A265,Lists!$U$1:$V$121,2,FALSE)</f>
        <v>#N/A</v>
      </c>
      <c r="F265" s="34"/>
      <c r="G265" s="35"/>
      <c r="H265" s="35"/>
      <c r="I265" s="48">
        <f t="shared" si="4"/>
        <v>0</v>
      </c>
      <c r="J265" s="36"/>
      <c r="K265" s="36"/>
      <c r="L265" s="39" t="e">
        <f>VLOOKUP('Time Tracking'!$D265,Lists!O:P,2,FALSE)</f>
        <v>#N/A</v>
      </c>
      <c r="M265" s="51" t="e">
        <f>VLOOKUP(C265,Lists!$R$1:$S$15,2,FALSE)</f>
        <v>#N/A</v>
      </c>
      <c r="N265" s="37"/>
    </row>
    <row r="266" spans="1:14" s="24" customFormat="1" x14ac:dyDescent="0.25">
      <c r="A266" s="32"/>
      <c r="B266" s="33"/>
      <c r="C266" s="33"/>
      <c r="D266" s="33"/>
      <c r="E266" s="44" t="e">
        <f>VLOOKUP(A266,Lists!$U$1:$V$121,2,FALSE)</f>
        <v>#N/A</v>
      </c>
      <c r="F266" s="34"/>
      <c r="G266" s="35"/>
      <c r="H266" s="35"/>
      <c r="I266" s="48">
        <f t="shared" si="4"/>
        <v>0</v>
      </c>
      <c r="J266" s="36"/>
      <c r="K266" s="36"/>
      <c r="L266" s="39" t="e">
        <f>VLOOKUP('Time Tracking'!$D266,Lists!O:P,2,FALSE)</f>
        <v>#N/A</v>
      </c>
      <c r="M266" s="51" t="e">
        <f>VLOOKUP(C266,Lists!$R$1:$S$15,2,FALSE)</f>
        <v>#N/A</v>
      </c>
      <c r="N266" s="37"/>
    </row>
    <row r="267" spans="1:14" s="24" customFormat="1" x14ac:dyDescent="0.25">
      <c r="A267" s="32"/>
      <c r="B267" s="33"/>
      <c r="C267" s="33"/>
      <c r="D267" s="33"/>
      <c r="E267" s="44" t="e">
        <f>VLOOKUP(A267,Lists!$U$1:$V$121,2,FALSE)</f>
        <v>#N/A</v>
      </c>
      <c r="F267" s="34"/>
      <c r="G267" s="35"/>
      <c r="H267" s="35"/>
      <c r="I267" s="48">
        <f t="shared" si="4"/>
        <v>0</v>
      </c>
      <c r="J267" s="36"/>
      <c r="K267" s="36"/>
      <c r="L267" s="39" t="e">
        <f>VLOOKUP('Time Tracking'!$D267,Lists!O:P,2,FALSE)</f>
        <v>#N/A</v>
      </c>
      <c r="M267" s="51" t="e">
        <f>VLOOKUP(C267,Lists!$R$1:$S$15,2,FALSE)</f>
        <v>#N/A</v>
      </c>
      <c r="N267" s="37"/>
    </row>
    <row r="268" spans="1:14" s="24" customFormat="1" x14ac:dyDescent="0.25">
      <c r="A268" s="32"/>
      <c r="B268" s="33"/>
      <c r="C268" s="33"/>
      <c r="D268" s="33"/>
      <c r="E268" s="44" t="e">
        <f>VLOOKUP(A268,Lists!$U$1:$V$121,2,FALSE)</f>
        <v>#N/A</v>
      </c>
      <c r="F268" s="34"/>
      <c r="G268" s="35"/>
      <c r="H268" s="35"/>
      <c r="I268" s="48">
        <f t="shared" si="4"/>
        <v>0</v>
      </c>
      <c r="J268" s="36"/>
      <c r="K268" s="36"/>
      <c r="L268" s="39" t="e">
        <f>VLOOKUP('Time Tracking'!$D268,Lists!O:P,2,FALSE)</f>
        <v>#N/A</v>
      </c>
      <c r="M268" s="51" t="e">
        <f>VLOOKUP(C268,Lists!$R$1:$S$15,2,FALSE)</f>
        <v>#N/A</v>
      </c>
      <c r="N268" s="37"/>
    </row>
    <row r="269" spans="1:14" s="24" customFormat="1" x14ac:dyDescent="0.25">
      <c r="A269" s="32"/>
      <c r="B269" s="33"/>
      <c r="C269" s="33"/>
      <c r="D269" s="33"/>
      <c r="E269" s="44" t="e">
        <f>VLOOKUP(A269,Lists!$U$1:$V$121,2,FALSE)</f>
        <v>#N/A</v>
      </c>
      <c r="F269" s="34"/>
      <c r="G269" s="35"/>
      <c r="H269" s="35"/>
      <c r="I269" s="48">
        <f t="shared" si="4"/>
        <v>0</v>
      </c>
      <c r="J269" s="36"/>
      <c r="K269" s="36"/>
      <c r="L269" s="39" t="e">
        <f>VLOOKUP('Time Tracking'!$D269,Lists!O:P,2,FALSE)</f>
        <v>#N/A</v>
      </c>
      <c r="M269" s="51" t="e">
        <f>VLOOKUP(C269,Lists!$R$1:$S$15,2,FALSE)</f>
        <v>#N/A</v>
      </c>
      <c r="N269" s="37"/>
    </row>
    <row r="270" spans="1:14" s="24" customFormat="1" x14ac:dyDescent="0.25">
      <c r="A270" s="32"/>
      <c r="B270" s="33"/>
      <c r="C270" s="33"/>
      <c r="D270" s="33"/>
      <c r="E270" s="44" t="e">
        <f>VLOOKUP(A270,Lists!$U$1:$V$121,2,FALSE)</f>
        <v>#N/A</v>
      </c>
      <c r="F270" s="34"/>
      <c r="G270" s="35"/>
      <c r="H270" s="35"/>
      <c r="I270" s="48">
        <f t="shared" si="4"/>
        <v>0</v>
      </c>
      <c r="J270" s="36"/>
      <c r="K270" s="36"/>
      <c r="L270" s="39" t="e">
        <f>VLOOKUP('Time Tracking'!$D270,Lists!O:P,2,FALSE)</f>
        <v>#N/A</v>
      </c>
      <c r="M270" s="51" t="e">
        <f>VLOOKUP(C270,Lists!$R$1:$S$15,2,FALSE)</f>
        <v>#N/A</v>
      </c>
      <c r="N270" s="37"/>
    </row>
    <row r="271" spans="1:14" s="24" customFormat="1" x14ac:dyDescent="0.25">
      <c r="A271" s="32"/>
      <c r="B271" s="33"/>
      <c r="C271" s="33"/>
      <c r="D271" s="33"/>
      <c r="E271" s="44" t="e">
        <f>VLOOKUP(A271,Lists!$U$1:$V$121,2,FALSE)</f>
        <v>#N/A</v>
      </c>
      <c r="F271" s="34"/>
      <c r="G271" s="35"/>
      <c r="H271" s="35"/>
      <c r="I271" s="48">
        <f t="shared" si="4"/>
        <v>0</v>
      </c>
      <c r="J271" s="36"/>
      <c r="K271" s="36"/>
      <c r="L271" s="39" t="e">
        <f>VLOOKUP('Time Tracking'!$D271,Lists!O:P,2,FALSE)</f>
        <v>#N/A</v>
      </c>
      <c r="M271" s="51" t="e">
        <f>VLOOKUP(C271,Lists!$R$1:$S$15,2,FALSE)</f>
        <v>#N/A</v>
      </c>
      <c r="N271" s="37"/>
    </row>
    <row r="272" spans="1:14" s="24" customFormat="1" x14ac:dyDescent="0.25">
      <c r="A272" s="32"/>
      <c r="B272" s="33"/>
      <c r="C272" s="33"/>
      <c r="D272" s="33"/>
      <c r="E272" s="44" t="e">
        <f>VLOOKUP(A272,Lists!$U$1:$V$121,2,FALSE)</f>
        <v>#N/A</v>
      </c>
      <c r="F272" s="34"/>
      <c r="G272" s="35"/>
      <c r="H272" s="35"/>
      <c r="I272" s="48">
        <f t="shared" si="4"/>
        <v>0</v>
      </c>
      <c r="J272" s="36"/>
      <c r="K272" s="36"/>
      <c r="L272" s="39" t="e">
        <f>VLOOKUP('Time Tracking'!$D272,Lists!O:P,2,FALSE)</f>
        <v>#N/A</v>
      </c>
      <c r="M272" s="51" t="e">
        <f>VLOOKUP(C272,Lists!$R$1:$S$15,2,FALSE)</f>
        <v>#N/A</v>
      </c>
      <c r="N272" s="37"/>
    </row>
    <row r="273" spans="1:14" s="24" customFormat="1" x14ac:dyDescent="0.25">
      <c r="A273" s="32"/>
      <c r="B273" s="33"/>
      <c r="C273" s="33"/>
      <c r="D273" s="33"/>
      <c r="E273" s="44" t="e">
        <f>VLOOKUP(A273,Lists!$U$1:$V$121,2,FALSE)</f>
        <v>#N/A</v>
      </c>
      <c r="F273" s="34"/>
      <c r="G273" s="35"/>
      <c r="H273" s="35"/>
      <c r="I273" s="48">
        <f t="shared" si="4"/>
        <v>0</v>
      </c>
      <c r="J273" s="36"/>
      <c r="K273" s="36"/>
      <c r="L273" s="39" t="e">
        <f>VLOOKUP('Time Tracking'!$D273,Lists!O:P,2,FALSE)</f>
        <v>#N/A</v>
      </c>
      <c r="M273" s="51" t="e">
        <f>VLOOKUP(C273,Lists!$R$1:$S$15,2,FALSE)</f>
        <v>#N/A</v>
      </c>
      <c r="N273" s="37"/>
    </row>
    <row r="274" spans="1:14" s="24" customFormat="1" x14ac:dyDescent="0.25">
      <c r="A274" s="32"/>
      <c r="B274" s="33"/>
      <c r="C274" s="33"/>
      <c r="D274" s="33"/>
      <c r="E274" s="44" t="e">
        <f>VLOOKUP(A274,Lists!$U$1:$V$121,2,FALSE)</f>
        <v>#N/A</v>
      </c>
      <c r="F274" s="34"/>
      <c r="G274" s="35"/>
      <c r="H274" s="35"/>
      <c r="I274" s="48">
        <f t="shared" si="4"/>
        <v>0</v>
      </c>
      <c r="J274" s="36"/>
      <c r="K274" s="36"/>
      <c r="L274" s="39" t="e">
        <f>VLOOKUP('Time Tracking'!$D274,Lists!O:P,2,FALSE)</f>
        <v>#N/A</v>
      </c>
      <c r="M274" s="51" t="e">
        <f>VLOOKUP(C274,Lists!$R$1:$S$15,2,FALSE)</f>
        <v>#N/A</v>
      </c>
      <c r="N274" s="37"/>
    </row>
    <row r="275" spans="1:14" s="24" customFormat="1" x14ac:dyDescent="0.25">
      <c r="A275" s="32"/>
      <c r="B275" s="33"/>
      <c r="C275" s="33"/>
      <c r="D275" s="33"/>
      <c r="E275" s="44" t="e">
        <f>VLOOKUP(A275,Lists!$U$1:$V$121,2,FALSE)</f>
        <v>#N/A</v>
      </c>
      <c r="F275" s="34"/>
      <c r="G275" s="35"/>
      <c r="H275" s="35"/>
      <c r="I275" s="48">
        <f t="shared" si="4"/>
        <v>0</v>
      </c>
      <c r="J275" s="36"/>
      <c r="K275" s="36"/>
      <c r="L275" s="39" t="e">
        <f>VLOOKUP('Time Tracking'!$D275,Lists!O:P,2,FALSE)</f>
        <v>#N/A</v>
      </c>
      <c r="M275" s="51" t="e">
        <f>VLOOKUP(C275,Lists!$R$1:$S$15,2,FALSE)</f>
        <v>#N/A</v>
      </c>
      <c r="N275" s="37"/>
    </row>
    <row r="276" spans="1:14" s="24" customFormat="1" x14ac:dyDescent="0.25">
      <c r="A276" s="32"/>
      <c r="B276" s="33"/>
      <c r="C276" s="33"/>
      <c r="D276" s="33"/>
      <c r="E276" s="44" t="e">
        <f>VLOOKUP(A276,Lists!$U$1:$V$121,2,FALSE)</f>
        <v>#N/A</v>
      </c>
      <c r="F276" s="34"/>
      <c r="G276" s="35"/>
      <c r="H276" s="35"/>
      <c r="I276" s="48">
        <f t="shared" si="4"/>
        <v>0</v>
      </c>
      <c r="J276" s="36"/>
      <c r="K276" s="36"/>
      <c r="L276" s="39" t="e">
        <f>VLOOKUP('Time Tracking'!$D276,Lists!O:P,2,FALSE)</f>
        <v>#N/A</v>
      </c>
      <c r="M276" s="51" t="e">
        <f>VLOOKUP(C276,Lists!$R$1:$S$15,2,FALSE)</f>
        <v>#N/A</v>
      </c>
      <c r="N276" s="37"/>
    </row>
    <row r="277" spans="1:14" s="24" customFormat="1" x14ac:dyDescent="0.25">
      <c r="A277" s="32"/>
      <c r="B277" s="33"/>
      <c r="C277" s="33"/>
      <c r="D277" s="33"/>
      <c r="E277" s="44" t="e">
        <f>VLOOKUP(A277,Lists!$U$1:$V$121,2,FALSE)</f>
        <v>#N/A</v>
      </c>
      <c r="F277" s="34"/>
      <c r="G277" s="35"/>
      <c r="H277" s="35"/>
      <c r="I277" s="48">
        <f t="shared" si="4"/>
        <v>0</v>
      </c>
      <c r="J277" s="36"/>
      <c r="K277" s="36"/>
      <c r="L277" s="39" t="e">
        <f>VLOOKUP('Time Tracking'!$D277,Lists!O:P,2,FALSE)</f>
        <v>#N/A</v>
      </c>
      <c r="M277" s="51" t="e">
        <f>VLOOKUP(C277,Lists!$R$1:$S$15,2,FALSE)</f>
        <v>#N/A</v>
      </c>
      <c r="N277" s="37"/>
    </row>
    <row r="278" spans="1:14" s="24" customFormat="1" x14ac:dyDescent="0.25">
      <c r="A278" s="32"/>
      <c r="B278" s="33"/>
      <c r="C278" s="33"/>
      <c r="D278" s="33"/>
      <c r="E278" s="44" t="e">
        <f>VLOOKUP(A278,Lists!$U$1:$V$121,2,FALSE)</f>
        <v>#N/A</v>
      </c>
      <c r="F278" s="34"/>
      <c r="G278" s="35"/>
      <c r="H278" s="35"/>
      <c r="I278" s="48">
        <f t="shared" si="4"/>
        <v>0</v>
      </c>
      <c r="J278" s="36"/>
      <c r="K278" s="36"/>
      <c r="L278" s="39" t="e">
        <f>VLOOKUP('Time Tracking'!$D278,Lists!O:P,2,FALSE)</f>
        <v>#N/A</v>
      </c>
      <c r="M278" s="51" t="e">
        <f>VLOOKUP(C278,Lists!$R$1:$S$15,2,FALSE)</f>
        <v>#N/A</v>
      </c>
      <c r="N278" s="37"/>
    </row>
    <row r="279" spans="1:14" s="24" customFormat="1" x14ac:dyDescent="0.25">
      <c r="A279" s="32"/>
      <c r="B279" s="33"/>
      <c r="C279" s="33"/>
      <c r="D279" s="33"/>
      <c r="E279" s="44" t="e">
        <f>VLOOKUP(A279,Lists!$U$1:$V$121,2,FALSE)</f>
        <v>#N/A</v>
      </c>
      <c r="F279" s="34"/>
      <c r="G279" s="35"/>
      <c r="H279" s="35"/>
      <c r="I279" s="48">
        <f t="shared" si="4"/>
        <v>0</v>
      </c>
      <c r="J279" s="36"/>
      <c r="K279" s="36"/>
      <c r="L279" s="39" t="e">
        <f>VLOOKUP('Time Tracking'!$D279,Lists!O:P,2,FALSE)</f>
        <v>#N/A</v>
      </c>
      <c r="M279" s="51" t="e">
        <f>VLOOKUP(C279,Lists!$R$1:$S$15,2,FALSE)</f>
        <v>#N/A</v>
      </c>
      <c r="N279" s="37"/>
    </row>
    <row r="280" spans="1:14" s="24" customFormat="1" x14ac:dyDescent="0.25">
      <c r="A280" s="32"/>
      <c r="B280" s="33"/>
      <c r="C280" s="33"/>
      <c r="D280" s="33"/>
      <c r="E280" s="44" t="e">
        <f>VLOOKUP(A280,Lists!$U$1:$V$121,2,FALSE)</f>
        <v>#N/A</v>
      </c>
      <c r="F280" s="34"/>
      <c r="G280" s="35"/>
      <c r="H280" s="35"/>
      <c r="I280" s="48">
        <f t="shared" si="4"/>
        <v>0</v>
      </c>
      <c r="J280" s="36"/>
      <c r="K280" s="36"/>
      <c r="L280" s="39" t="e">
        <f>VLOOKUP('Time Tracking'!$D280,Lists!O:P,2,FALSE)</f>
        <v>#N/A</v>
      </c>
      <c r="M280" s="51" t="e">
        <f>VLOOKUP(C280,Lists!$R$1:$S$15,2,FALSE)</f>
        <v>#N/A</v>
      </c>
      <c r="N280" s="37"/>
    </row>
    <row r="281" spans="1:14" s="24" customFormat="1" x14ac:dyDescent="0.25">
      <c r="A281" s="32"/>
      <c r="B281" s="33"/>
      <c r="C281" s="33"/>
      <c r="D281" s="33"/>
      <c r="E281" s="44" t="e">
        <f>VLOOKUP(A281,Lists!$U$1:$V$121,2,FALSE)</f>
        <v>#N/A</v>
      </c>
      <c r="F281" s="34"/>
      <c r="G281" s="35"/>
      <c r="H281" s="35"/>
      <c r="I281" s="48">
        <f t="shared" si="4"/>
        <v>0</v>
      </c>
      <c r="J281" s="36"/>
      <c r="K281" s="36"/>
      <c r="L281" s="39" t="e">
        <f>VLOOKUP('Time Tracking'!$D281,Lists!O:P,2,FALSE)</f>
        <v>#N/A</v>
      </c>
      <c r="M281" s="51" t="e">
        <f>VLOOKUP(C281,Lists!$R$1:$S$15,2,FALSE)</f>
        <v>#N/A</v>
      </c>
      <c r="N281" s="37"/>
    </row>
    <row r="282" spans="1:14" s="24" customFormat="1" x14ac:dyDescent="0.25">
      <c r="A282" s="32"/>
      <c r="B282" s="33"/>
      <c r="C282" s="33"/>
      <c r="D282" s="33"/>
      <c r="E282" s="44" t="e">
        <f>VLOOKUP(A282,Lists!$U$1:$V$121,2,FALSE)</f>
        <v>#N/A</v>
      </c>
      <c r="F282" s="34"/>
      <c r="G282" s="35"/>
      <c r="H282" s="35"/>
      <c r="I282" s="48">
        <f t="shared" si="4"/>
        <v>0</v>
      </c>
      <c r="J282" s="36"/>
      <c r="K282" s="36"/>
      <c r="L282" s="39" t="e">
        <f>VLOOKUP('Time Tracking'!$D282,Lists!O:P,2,FALSE)</f>
        <v>#N/A</v>
      </c>
      <c r="M282" s="51" t="e">
        <f>VLOOKUP(C282,Lists!$R$1:$S$15,2,FALSE)</f>
        <v>#N/A</v>
      </c>
      <c r="N282" s="37"/>
    </row>
    <row r="283" spans="1:14" s="24" customFormat="1" x14ac:dyDescent="0.25">
      <c r="A283" s="32"/>
      <c r="B283" s="33"/>
      <c r="C283" s="33"/>
      <c r="D283" s="33"/>
      <c r="E283" s="44" t="e">
        <f>VLOOKUP(A283,Lists!$U$1:$V$121,2,FALSE)</f>
        <v>#N/A</v>
      </c>
      <c r="F283" s="34"/>
      <c r="G283" s="35"/>
      <c r="H283" s="35"/>
      <c r="I283" s="48">
        <f t="shared" si="4"/>
        <v>0</v>
      </c>
      <c r="J283" s="36"/>
      <c r="K283" s="36"/>
      <c r="L283" s="39" t="e">
        <f>VLOOKUP('Time Tracking'!$D283,Lists!O:P,2,FALSE)</f>
        <v>#N/A</v>
      </c>
      <c r="M283" s="51" t="e">
        <f>VLOOKUP(C283,Lists!$R$1:$S$15,2,FALSE)</f>
        <v>#N/A</v>
      </c>
      <c r="N283" s="37"/>
    </row>
    <row r="284" spans="1:14" s="24" customFormat="1" x14ac:dyDescent="0.25">
      <c r="A284" s="32"/>
      <c r="B284" s="33"/>
      <c r="C284" s="33"/>
      <c r="D284" s="33"/>
      <c r="E284" s="44" t="e">
        <f>VLOOKUP(A284,Lists!$U$1:$V$121,2,FALSE)</f>
        <v>#N/A</v>
      </c>
      <c r="F284" s="34"/>
      <c r="G284" s="35"/>
      <c r="H284" s="35"/>
      <c r="I284" s="48">
        <f t="shared" si="4"/>
        <v>0</v>
      </c>
      <c r="J284" s="36"/>
      <c r="K284" s="36"/>
      <c r="L284" s="39" t="e">
        <f>VLOOKUP('Time Tracking'!$D284,Lists!O:P,2,FALSE)</f>
        <v>#N/A</v>
      </c>
      <c r="M284" s="51" t="e">
        <f>VLOOKUP(C284,Lists!$R$1:$S$15,2,FALSE)</f>
        <v>#N/A</v>
      </c>
      <c r="N284" s="37"/>
    </row>
    <row r="285" spans="1:14" s="24" customFormat="1" x14ac:dyDescent="0.25">
      <c r="A285" s="32"/>
      <c r="B285" s="33"/>
      <c r="C285" s="33"/>
      <c r="D285" s="33"/>
      <c r="E285" s="44" t="e">
        <f>VLOOKUP(A285,Lists!$U$1:$V$121,2,FALSE)</f>
        <v>#N/A</v>
      </c>
      <c r="F285" s="34"/>
      <c r="G285" s="35"/>
      <c r="H285" s="35"/>
      <c r="I285" s="48">
        <f t="shared" si="4"/>
        <v>0</v>
      </c>
      <c r="J285" s="36"/>
      <c r="K285" s="36"/>
      <c r="L285" s="39" t="e">
        <f>VLOOKUP('Time Tracking'!$D285,Lists!O:P,2,FALSE)</f>
        <v>#N/A</v>
      </c>
      <c r="M285" s="51" t="e">
        <f>VLOOKUP(C285,Lists!$R$1:$S$15,2,FALSE)</f>
        <v>#N/A</v>
      </c>
      <c r="N285" s="37"/>
    </row>
    <row r="286" spans="1:14" s="24" customFormat="1" x14ac:dyDescent="0.25">
      <c r="A286" s="32"/>
      <c r="B286" s="33"/>
      <c r="C286" s="33"/>
      <c r="D286" s="33"/>
      <c r="E286" s="44" t="e">
        <f>VLOOKUP(A286,Lists!$U$1:$V$121,2,FALSE)</f>
        <v>#N/A</v>
      </c>
      <c r="F286" s="34"/>
      <c r="G286" s="35"/>
      <c r="H286" s="35"/>
      <c r="I286" s="48">
        <f t="shared" si="4"/>
        <v>0</v>
      </c>
      <c r="J286" s="36"/>
      <c r="K286" s="36"/>
      <c r="L286" s="39" t="e">
        <f>VLOOKUP('Time Tracking'!$D286,Lists!O:P,2,FALSE)</f>
        <v>#N/A</v>
      </c>
      <c r="M286" s="51" t="e">
        <f>VLOOKUP(C286,Lists!$R$1:$S$15,2,FALSE)</f>
        <v>#N/A</v>
      </c>
      <c r="N286" s="37"/>
    </row>
    <row r="287" spans="1:14" s="24" customFormat="1" x14ac:dyDescent="0.25">
      <c r="A287" s="32"/>
      <c r="B287" s="33"/>
      <c r="C287" s="33"/>
      <c r="D287" s="33"/>
      <c r="E287" s="44" t="e">
        <f>VLOOKUP(A287,Lists!$U$1:$V$121,2,FALSE)</f>
        <v>#N/A</v>
      </c>
      <c r="F287" s="34"/>
      <c r="G287" s="35"/>
      <c r="H287" s="35"/>
      <c r="I287" s="48">
        <f t="shared" si="4"/>
        <v>0</v>
      </c>
      <c r="J287" s="36"/>
      <c r="K287" s="36"/>
      <c r="L287" s="39" t="e">
        <f>VLOOKUP('Time Tracking'!$D287,Lists!O:P,2,FALSE)</f>
        <v>#N/A</v>
      </c>
      <c r="M287" s="51" t="e">
        <f>VLOOKUP(C287,Lists!$R$1:$S$15,2,FALSE)</f>
        <v>#N/A</v>
      </c>
      <c r="N287" s="37"/>
    </row>
    <row r="288" spans="1:14" s="24" customFormat="1" x14ac:dyDescent="0.25">
      <c r="A288" s="32"/>
      <c r="B288" s="33"/>
      <c r="C288" s="33"/>
      <c r="D288" s="33"/>
      <c r="E288" s="44" t="e">
        <f>VLOOKUP(A288,Lists!$U$1:$V$121,2,FALSE)</f>
        <v>#N/A</v>
      </c>
      <c r="F288" s="34"/>
      <c r="G288" s="35"/>
      <c r="H288" s="35"/>
      <c r="I288" s="48">
        <f t="shared" si="4"/>
        <v>0</v>
      </c>
      <c r="J288" s="36"/>
      <c r="K288" s="36"/>
      <c r="L288" s="39" t="e">
        <f>VLOOKUP('Time Tracking'!$D288,Lists!O:P,2,FALSE)</f>
        <v>#N/A</v>
      </c>
      <c r="M288" s="51" t="e">
        <f>VLOOKUP(C288,Lists!$R$1:$S$15,2,FALSE)</f>
        <v>#N/A</v>
      </c>
      <c r="N288" s="37"/>
    </row>
    <row r="289" spans="1:14" s="24" customFormat="1" x14ac:dyDescent="0.25">
      <c r="A289" s="32"/>
      <c r="B289" s="33"/>
      <c r="C289" s="33"/>
      <c r="D289" s="33"/>
      <c r="E289" s="44" t="e">
        <f>VLOOKUP(A289,Lists!$U$1:$V$121,2,FALSE)</f>
        <v>#N/A</v>
      </c>
      <c r="F289" s="34"/>
      <c r="G289" s="35"/>
      <c r="H289" s="35"/>
      <c r="I289" s="48">
        <f t="shared" si="4"/>
        <v>0</v>
      </c>
      <c r="J289" s="36"/>
      <c r="K289" s="36"/>
      <c r="L289" s="39" t="e">
        <f>VLOOKUP('Time Tracking'!$D289,Lists!O:P,2,FALSE)</f>
        <v>#N/A</v>
      </c>
      <c r="M289" s="51" t="e">
        <f>VLOOKUP(C289,Lists!$R$1:$S$15,2,FALSE)</f>
        <v>#N/A</v>
      </c>
      <c r="N289" s="37"/>
    </row>
    <row r="290" spans="1:14" s="24" customFormat="1" x14ac:dyDescent="0.25">
      <c r="A290" s="32"/>
      <c r="B290" s="33"/>
      <c r="C290" s="33"/>
      <c r="D290" s="33"/>
      <c r="E290" s="44" t="e">
        <f>VLOOKUP(A290,Lists!$U$1:$V$121,2,FALSE)</f>
        <v>#N/A</v>
      </c>
      <c r="F290" s="34"/>
      <c r="G290" s="35"/>
      <c r="H290" s="35"/>
      <c r="I290" s="48">
        <f t="shared" si="4"/>
        <v>0</v>
      </c>
      <c r="J290" s="36"/>
      <c r="K290" s="36"/>
      <c r="L290" s="39" t="e">
        <f>VLOOKUP('Time Tracking'!$D290,Lists!O:P,2,FALSE)</f>
        <v>#N/A</v>
      </c>
      <c r="M290" s="51" t="e">
        <f>VLOOKUP(C290,Lists!$R$1:$S$15,2,FALSE)</f>
        <v>#N/A</v>
      </c>
      <c r="N290" s="37"/>
    </row>
    <row r="291" spans="1:14" s="24" customFormat="1" x14ac:dyDescent="0.25">
      <c r="A291" s="32"/>
      <c r="B291" s="33"/>
      <c r="C291" s="33"/>
      <c r="D291" s="33"/>
      <c r="E291" s="44" t="e">
        <f>VLOOKUP(A291,Lists!$U$1:$V$121,2,FALSE)</f>
        <v>#N/A</v>
      </c>
      <c r="F291" s="34"/>
      <c r="G291" s="35"/>
      <c r="H291" s="35"/>
      <c r="I291" s="48">
        <f t="shared" si="4"/>
        <v>0</v>
      </c>
      <c r="J291" s="36"/>
      <c r="K291" s="36"/>
      <c r="L291" s="39" t="e">
        <f>VLOOKUP('Time Tracking'!$D291,Lists!O:P,2,FALSE)</f>
        <v>#N/A</v>
      </c>
      <c r="M291" s="51" t="e">
        <f>VLOOKUP(C291,Lists!$R$1:$S$15,2,FALSE)</f>
        <v>#N/A</v>
      </c>
      <c r="N291" s="37"/>
    </row>
    <row r="292" spans="1:14" s="24" customFormat="1" x14ac:dyDescent="0.25">
      <c r="A292" s="32"/>
      <c r="B292" s="33"/>
      <c r="C292" s="33"/>
      <c r="D292" s="33"/>
      <c r="E292" s="44" t="e">
        <f>VLOOKUP(A292,Lists!$U$1:$V$121,2,FALSE)</f>
        <v>#N/A</v>
      </c>
      <c r="F292" s="34"/>
      <c r="G292" s="35"/>
      <c r="H292" s="35"/>
      <c r="I292" s="48">
        <f t="shared" si="4"/>
        <v>0</v>
      </c>
      <c r="J292" s="36"/>
      <c r="K292" s="36"/>
      <c r="L292" s="39" t="e">
        <f>VLOOKUP('Time Tracking'!$D292,Lists!O:P,2,FALSE)</f>
        <v>#N/A</v>
      </c>
      <c r="M292" s="51" t="e">
        <f>VLOOKUP(C292,Lists!$R$1:$S$15,2,FALSE)</f>
        <v>#N/A</v>
      </c>
      <c r="N292" s="37"/>
    </row>
    <row r="293" spans="1:14" s="24" customFormat="1" x14ac:dyDescent="0.25">
      <c r="A293" s="32"/>
      <c r="B293" s="33"/>
      <c r="C293" s="33"/>
      <c r="D293" s="33"/>
      <c r="E293" s="44" t="e">
        <f>VLOOKUP(A293,Lists!$U$1:$V$121,2,FALSE)</f>
        <v>#N/A</v>
      </c>
      <c r="F293" s="34"/>
      <c r="G293" s="35"/>
      <c r="H293" s="35"/>
      <c r="I293" s="48">
        <f t="shared" si="4"/>
        <v>0</v>
      </c>
      <c r="J293" s="36"/>
      <c r="K293" s="36"/>
      <c r="L293" s="39" t="e">
        <f>VLOOKUP('Time Tracking'!$D293,Lists!O:P,2,FALSE)</f>
        <v>#N/A</v>
      </c>
      <c r="M293" s="51" t="e">
        <f>VLOOKUP(C293,Lists!$R$1:$S$15,2,FALSE)</f>
        <v>#N/A</v>
      </c>
      <c r="N293" s="37"/>
    </row>
    <row r="294" spans="1:14" s="24" customFormat="1" x14ac:dyDescent="0.25">
      <c r="A294" s="32"/>
      <c r="B294" s="33"/>
      <c r="C294" s="33"/>
      <c r="D294" s="33"/>
      <c r="E294" s="44" t="e">
        <f>VLOOKUP(A294,Lists!$U$1:$V$121,2,FALSE)</f>
        <v>#N/A</v>
      </c>
      <c r="F294" s="34"/>
      <c r="G294" s="35"/>
      <c r="H294" s="35"/>
      <c r="I294" s="48">
        <f t="shared" si="4"/>
        <v>0</v>
      </c>
      <c r="J294" s="36"/>
      <c r="K294" s="36"/>
      <c r="L294" s="39" t="e">
        <f>VLOOKUP('Time Tracking'!$D294,Lists!O:P,2,FALSE)</f>
        <v>#N/A</v>
      </c>
      <c r="M294" s="51" t="e">
        <f>VLOOKUP(C294,Lists!$R$1:$S$15,2,FALSE)</f>
        <v>#N/A</v>
      </c>
      <c r="N294" s="37"/>
    </row>
    <row r="295" spans="1:14" s="24" customFormat="1" x14ac:dyDescent="0.25">
      <c r="A295" s="32"/>
      <c r="B295" s="33"/>
      <c r="C295" s="33"/>
      <c r="D295" s="33"/>
      <c r="E295" s="44" t="e">
        <f>VLOOKUP(A295,Lists!$U$1:$V$121,2,FALSE)</f>
        <v>#N/A</v>
      </c>
      <c r="F295" s="34"/>
      <c r="G295" s="35"/>
      <c r="H295" s="35"/>
      <c r="I295" s="48">
        <f t="shared" si="4"/>
        <v>0</v>
      </c>
      <c r="J295" s="36"/>
      <c r="K295" s="36"/>
      <c r="L295" s="39" t="e">
        <f>VLOOKUP('Time Tracking'!$D295,Lists!O:P,2,FALSE)</f>
        <v>#N/A</v>
      </c>
      <c r="M295" s="51" t="e">
        <f>VLOOKUP(C295,Lists!$R$1:$S$15,2,FALSE)</f>
        <v>#N/A</v>
      </c>
      <c r="N295" s="37"/>
    </row>
    <row r="296" spans="1:14" s="24" customFormat="1" x14ac:dyDescent="0.25">
      <c r="A296" s="32"/>
      <c r="B296" s="33"/>
      <c r="C296" s="33"/>
      <c r="D296" s="33"/>
      <c r="E296" s="44" t="e">
        <f>VLOOKUP(A296,Lists!$U$1:$V$121,2,FALSE)</f>
        <v>#N/A</v>
      </c>
      <c r="F296" s="34"/>
      <c r="G296" s="35"/>
      <c r="H296" s="35"/>
      <c r="I296" s="48">
        <f t="shared" si="4"/>
        <v>0</v>
      </c>
      <c r="J296" s="36"/>
      <c r="K296" s="36"/>
      <c r="L296" s="39" t="e">
        <f>VLOOKUP('Time Tracking'!$D296,Lists!O:P,2,FALSE)</f>
        <v>#N/A</v>
      </c>
      <c r="M296" s="51" t="e">
        <f>VLOOKUP(C296,Lists!$R$1:$S$15,2,FALSE)</f>
        <v>#N/A</v>
      </c>
      <c r="N296" s="37"/>
    </row>
    <row r="297" spans="1:14" s="24" customFormat="1" x14ac:dyDescent="0.25">
      <c r="A297" s="32"/>
      <c r="B297" s="33"/>
      <c r="C297" s="33"/>
      <c r="D297" s="33"/>
      <c r="E297" s="44" t="e">
        <f>VLOOKUP(A297,Lists!$U$1:$V$121,2,FALSE)</f>
        <v>#N/A</v>
      </c>
      <c r="F297" s="34"/>
      <c r="G297" s="35"/>
      <c r="H297" s="35"/>
      <c r="I297" s="48">
        <f t="shared" si="4"/>
        <v>0</v>
      </c>
      <c r="J297" s="36"/>
      <c r="K297" s="36"/>
      <c r="L297" s="39" t="e">
        <f>VLOOKUP('Time Tracking'!$D297,Lists!O:P,2,FALSE)</f>
        <v>#N/A</v>
      </c>
      <c r="M297" s="51" t="e">
        <f>VLOOKUP(C297,Lists!$R$1:$S$15,2,FALSE)</f>
        <v>#N/A</v>
      </c>
      <c r="N297" s="37"/>
    </row>
    <row r="298" spans="1:14" s="24" customFormat="1" x14ac:dyDescent="0.25">
      <c r="A298" s="32"/>
      <c r="B298" s="33"/>
      <c r="C298" s="33"/>
      <c r="D298" s="33"/>
      <c r="E298" s="44" t="e">
        <f>VLOOKUP(A298,Lists!$U$1:$V$121,2,FALSE)</f>
        <v>#N/A</v>
      </c>
      <c r="F298" s="34"/>
      <c r="G298" s="35"/>
      <c r="H298" s="35"/>
      <c r="I298" s="48">
        <f t="shared" si="4"/>
        <v>0</v>
      </c>
      <c r="J298" s="36"/>
      <c r="K298" s="36"/>
      <c r="L298" s="39" t="e">
        <f>VLOOKUP('Time Tracking'!$D298,Lists!O:P,2,FALSE)</f>
        <v>#N/A</v>
      </c>
      <c r="M298" s="51" t="e">
        <f>VLOOKUP(C298,Lists!$R$1:$S$15,2,FALSE)</f>
        <v>#N/A</v>
      </c>
      <c r="N298" s="37"/>
    </row>
    <row r="299" spans="1:14" s="24" customFormat="1" x14ac:dyDescent="0.25">
      <c r="A299" s="32"/>
      <c r="B299" s="33"/>
      <c r="C299" s="33"/>
      <c r="D299" s="33"/>
      <c r="E299" s="44" t="e">
        <f>VLOOKUP(A299,Lists!$U$1:$V$121,2,FALSE)</f>
        <v>#N/A</v>
      </c>
      <c r="F299" s="34"/>
      <c r="G299" s="35"/>
      <c r="H299" s="35"/>
      <c r="I299" s="48">
        <f t="shared" si="4"/>
        <v>0</v>
      </c>
      <c r="J299" s="36"/>
      <c r="K299" s="36"/>
      <c r="L299" s="39" t="e">
        <f>VLOOKUP('Time Tracking'!$D299,Lists!O:P,2,FALSE)</f>
        <v>#N/A</v>
      </c>
      <c r="M299" s="51" t="e">
        <f>VLOOKUP(C299,Lists!$R$1:$S$15,2,FALSE)</f>
        <v>#N/A</v>
      </c>
      <c r="N299" s="37"/>
    </row>
    <row r="300" spans="1:14" s="24" customFormat="1" x14ac:dyDescent="0.25">
      <c r="A300" s="32"/>
      <c r="B300" s="33"/>
      <c r="C300" s="33"/>
      <c r="D300" s="33"/>
      <c r="E300" s="44" t="e">
        <f>VLOOKUP(A300,Lists!$U$1:$V$121,2,FALSE)</f>
        <v>#N/A</v>
      </c>
      <c r="F300" s="34"/>
      <c r="G300" s="35"/>
      <c r="H300" s="35"/>
      <c r="I300" s="48">
        <f t="shared" si="4"/>
        <v>0</v>
      </c>
      <c r="J300" s="36"/>
      <c r="K300" s="36"/>
      <c r="L300" s="39" t="e">
        <f>VLOOKUP('Time Tracking'!$D300,Lists!O:P,2,FALSE)</f>
        <v>#N/A</v>
      </c>
      <c r="M300" s="51" t="e">
        <f>VLOOKUP(C300,Lists!$R$1:$S$15,2,FALSE)</f>
        <v>#N/A</v>
      </c>
      <c r="N300" s="37"/>
    </row>
    <row r="301" spans="1:14" s="24" customFormat="1" x14ac:dyDescent="0.25">
      <c r="A301" s="32"/>
      <c r="B301" s="33"/>
      <c r="C301" s="33"/>
      <c r="D301" s="33"/>
      <c r="E301" s="44" t="e">
        <f>VLOOKUP(A301,Lists!$U$1:$V$121,2,FALSE)</f>
        <v>#N/A</v>
      </c>
      <c r="F301" s="34"/>
      <c r="G301" s="35"/>
      <c r="H301" s="35"/>
      <c r="I301" s="48">
        <f t="shared" si="4"/>
        <v>0</v>
      </c>
      <c r="J301" s="36"/>
      <c r="K301" s="36"/>
      <c r="L301" s="39" t="e">
        <f>VLOOKUP('Time Tracking'!$D301,Lists!O:P,2,FALSE)</f>
        <v>#N/A</v>
      </c>
      <c r="M301" s="51" t="e">
        <f>VLOOKUP(C301,Lists!$R$1:$S$15,2,FALSE)</f>
        <v>#N/A</v>
      </c>
      <c r="N301" s="37"/>
    </row>
    <row r="302" spans="1:14" s="24" customFormat="1" x14ac:dyDescent="0.25">
      <c r="A302" s="32"/>
      <c r="B302" s="33"/>
      <c r="C302" s="33"/>
      <c r="D302" s="33"/>
      <c r="E302" s="44" t="e">
        <f>VLOOKUP(A302,Lists!$U$1:$V$121,2,FALSE)</f>
        <v>#N/A</v>
      </c>
      <c r="F302" s="34"/>
      <c r="G302" s="35"/>
      <c r="H302" s="35"/>
      <c r="I302" s="48">
        <f t="shared" si="4"/>
        <v>0</v>
      </c>
      <c r="J302" s="36"/>
      <c r="K302" s="36"/>
      <c r="L302" s="39" t="e">
        <f>VLOOKUP('Time Tracking'!$D302,Lists!O:P,2,FALSE)</f>
        <v>#N/A</v>
      </c>
      <c r="M302" s="51" t="e">
        <f>VLOOKUP(C302,Lists!$R$1:$S$15,2,FALSE)</f>
        <v>#N/A</v>
      </c>
      <c r="N302" s="37"/>
    </row>
    <row r="303" spans="1:14" s="24" customFormat="1" x14ac:dyDescent="0.25">
      <c r="A303" s="32"/>
      <c r="B303" s="33"/>
      <c r="C303" s="33"/>
      <c r="D303" s="33"/>
      <c r="E303" s="44" t="e">
        <f>VLOOKUP(A303,Lists!$U$1:$V$121,2,FALSE)</f>
        <v>#N/A</v>
      </c>
      <c r="F303" s="34"/>
      <c r="G303" s="35"/>
      <c r="H303" s="35"/>
      <c r="I303" s="48">
        <f t="shared" si="4"/>
        <v>0</v>
      </c>
      <c r="J303" s="36"/>
      <c r="K303" s="36"/>
      <c r="L303" s="39" t="e">
        <f>VLOOKUP('Time Tracking'!$D303,Lists!O:P,2,FALSE)</f>
        <v>#N/A</v>
      </c>
      <c r="M303" s="51" t="e">
        <f>VLOOKUP(C303,Lists!$R$1:$S$15,2,FALSE)</f>
        <v>#N/A</v>
      </c>
      <c r="N303" s="37"/>
    </row>
    <row r="304" spans="1:14" s="24" customFormat="1" x14ac:dyDescent="0.25">
      <c r="A304" s="32"/>
      <c r="B304" s="33"/>
      <c r="C304" s="33"/>
      <c r="D304" s="33"/>
      <c r="E304" s="44" t="e">
        <f>VLOOKUP(A304,Lists!$U$1:$V$121,2,FALSE)</f>
        <v>#N/A</v>
      </c>
      <c r="F304" s="34"/>
      <c r="G304" s="35"/>
      <c r="H304" s="35"/>
      <c r="I304" s="48">
        <f t="shared" si="4"/>
        <v>0</v>
      </c>
      <c r="J304" s="36"/>
      <c r="K304" s="36"/>
      <c r="L304" s="39" t="e">
        <f>VLOOKUP('Time Tracking'!$D304,Lists!O:P,2,FALSE)</f>
        <v>#N/A</v>
      </c>
      <c r="M304" s="51" t="e">
        <f>VLOOKUP(C304,Lists!$R$1:$S$15,2,FALSE)</f>
        <v>#N/A</v>
      </c>
      <c r="N304" s="37"/>
    </row>
    <row r="305" spans="1:14" s="24" customFormat="1" x14ac:dyDescent="0.25">
      <c r="A305" s="32"/>
      <c r="B305" s="33"/>
      <c r="C305" s="33"/>
      <c r="D305" s="33"/>
      <c r="E305" s="44" t="e">
        <f>VLOOKUP(A305,Lists!$U$1:$V$121,2,FALSE)</f>
        <v>#N/A</v>
      </c>
      <c r="F305" s="34"/>
      <c r="G305" s="35"/>
      <c r="H305" s="35"/>
      <c r="I305" s="48">
        <f t="shared" si="4"/>
        <v>0</v>
      </c>
      <c r="J305" s="36"/>
      <c r="K305" s="36"/>
      <c r="L305" s="39" t="e">
        <f>VLOOKUP('Time Tracking'!$D305,Lists!O:P,2,FALSE)</f>
        <v>#N/A</v>
      </c>
      <c r="M305" s="51" t="e">
        <f>VLOOKUP(C305,Lists!$R$1:$S$15,2,FALSE)</f>
        <v>#N/A</v>
      </c>
      <c r="N305" s="37"/>
    </row>
    <row r="306" spans="1:14" s="24" customFormat="1" x14ac:dyDescent="0.25">
      <c r="A306" s="32"/>
      <c r="B306" s="33"/>
      <c r="C306" s="33"/>
      <c r="D306" s="33"/>
      <c r="E306" s="44" t="e">
        <f>VLOOKUP(A306,Lists!$U$1:$V$121,2,FALSE)</f>
        <v>#N/A</v>
      </c>
      <c r="F306" s="34"/>
      <c r="G306" s="35"/>
      <c r="H306" s="35"/>
      <c r="I306" s="48">
        <f t="shared" si="4"/>
        <v>0</v>
      </c>
      <c r="J306" s="36"/>
      <c r="K306" s="36"/>
      <c r="L306" s="39" t="e">
        <f>VLOOKUP('Time Tracking'!$D306,Lists!O:P,2,FALSE)</f>
        <v>#N/A</v>
      </c>
      <c r="M306" s="51" t="e">
        <f>VLOOKUP(C306,Lists!$R$1:$S$15,2,FALSE)</f>
        <v>#N/A</v>
      </c>
      <c r="N306" s="37"/>
    </row>
    <row r="307" spans="1:14" s="24" customFormat="1" x14ac:dyDescent="0.25">
      <c r="A307" s="32"/>
      <c r="B307" s="33"/>
      <c r="C307" s="33"/>
      <c r="D307" s="33"/>
      <c r="E307" s="44" t="e">
        <f>VLOOKUP(A307,Lists!$U$1:$V$121,2,FALSE)</f>
        <v>#N/A</v>
      </c>
      <c r="F307" s="34"/>
      <c r="G307" s="35"/>
      <c r="H307" s="35"/>
      <c r="I307" s="48">
        <f t="shared" si="4"/>
        <v>0</v>
      </c>
      <c r="J307" s="36"/>
      <c r="K307" s="36"/>
      <c r="L307" s="39" t="e">
        <f>VLOOKUP('Time Tracking'!$D307,Lists!O:P,2,FALSE)</f>
        <v>#N/A</v>
      </c>
      <c r="M307" s="51" t="e">
        <f>VLOOKUP(C307,Lists!$R$1:$S$15,2,FALSE)</f>
        <v>#N/A</v>
      </c>
      <c r="N307" s="37"/>
    </row>
    <row r="308" spans="1:14" s="24" customFormat="1" x14ac:dyDescent="0.25">
      <c r="A308" s="32"/>
      <c r="B308" s="33"/>
      <c r="C308" s="33"/>
      <c r="D308" s="33"/>
      <c r="E308" s="44" t="e">
        <f>VLOOKUP(A308,Lists!$U$1:$V$121,2,FALSE)</f>
        <v>#N/A</v>
      </c>
      <c r="F308" s="34"/>
      <c r="G308" s="35"/>
      <c r="H308" s="35"/>
      <c r="I308" s="48">
        <f t="shared" si="4"/>
        <v>0</v>
      </c>
      <c r="J308" s="36"/>
      <c r="K308" s="36"/>
      <c r="L308" s="39" t="e">
        <f>VLOOKUP('Time Tracking'!$D308,Lists!O:P,2,FALSE)</f>
        <v>#N/A</v>
      </c>
      <c r="M308" s="51" t="e">
        <f>VLOOKUP(C308,Lists!$R$1:$S$15,2,FALSE)</f>
        <v>#N/A</v>
      </c>
      <c r="N308" s="37"/>
    </row>
    <row r="309" spans="1:14" s="24" customFormat="1" x14ac:dyDescent="0.25">
      <c r="A309" s="32"/>
      <c r="B309" s="33"/>
      <c r="C309" s="33"/>
      <c r="D309" s="33"/>
      <c r="E309" s="44" t="e">
        <f>VLOOKUP(A309,Lists!$U$1:$V$121,2,FALSE)</f>
        <v>#N/A</v>
      </c>
      <c r="F309" s="34"/>
      <c r="G309" s="35"/>
      <c r="H309" s="35"/>
      <c r="I309" s="48">
        <f t="shared" si="4"/>
        <v>0</v>
      </c>
      <c r="J309" s="36"/>
      <c r="K309" s="36"/>
      <c r="L309" s="39" t="e">
        <f>VLOOKUP('Time Tracking'!$D309,Lists!O:P,2,FALSE)</f>
        <v>#N/A</v>
      </c>
      <c r="M309" s="51" t="e">
        <f>VLOOKUP(C309,Lists!$R$1:$S$15,2,FALSE)</f>
        <v>#N/A</v>
      </c>
      <c r="N309" s="37"/>
    </row>
    <row r="310" spans="1:14" s="24" customFormat="1" x14ac:dyDescent="0.25">
      <c r="A310" s="32"/>
      <c r="B310" s="33"/>
      <c r="C310" s="33"/>
      <c r="D310" s="33"/>
      <c r="E310" s="44" t="e">
        <f>VLOOKUP(A310,Lists!$U$1:$V$121,2,FALSE)</f>
        <v>#N/A</v>
      </c>
      <c r="F310" s="34"/>
      <c r="G310" s="35"/>
      <c r="H310" s="35"/>
      <c r="I310" s="48">
        <f t="shared" si="4"/>
        <v>0</v>
      </c>
      <c r="J310" s="36"/>
      <c r="K310" s="36"/>
      <c r="L310" s="39" t="e">
        <f>VLOOKUP('Time Tracking'!$D310,Lists!O:P,2,FALSE)</f>
        <v>#N/A</v>
      </c>
      <c r="M310" s="51" t="e">
        <f>VLOOKUP(C310,Lists!$R$1:$S$15,2,FALSE)</f>
        <v>#N/A</v>
      </c>
      <c r="N310" s="37"/>
    </row>
    <row r="311" spans="1:14" s="24" customFormat="1" x14ac:dyDescent="0.25">
      <c r="A311" s="32"/>
      <c r="B311" s="33"/>
      <c r="C311" s="33"/>
      <c r="D311" s="33"/>
      <c r="E311" s="44" t="e">
        <f>VLOOKUP(A311,Lists!$U$1:$V$121,2,FALSE)</f>
        <v>#N/A</v>
      </c>
      <c r="F311" s="34"/>
      <c r="G311" s="35"/>
      <c r="H311" s="35"/>
      <c r="I311" s="48">
        <f t="shared" si="4"/>
        <v>0</v>
      </c>
      <c r="J311" s="36"/>
      <c r="K311" s="36"/>
      <c r="L311" s="39" t="e">
        <f>VLOOKUP('Time Tracking'!$D311,Lists!O:P,2,FALSE)</f>
        <v>#N/A</v>
      </c>
      <c r="M311" s="51" t="e">
        <f>VLOOKUP(C311,Lists!$R$1:$S$15,2,FALSE)</f>
        <v>#N/A</v>
      </c>
      <c r="N311" s="37"/>
    </row>
    <row r="312" spans="1:14" s="24" customFormat="1" x14ac:dyDescent="0.25">
      <c r="A312" s="32"/>
      <c r="B312" s="33"/>
      <c r="C312" s="33"/>
      <c r="D312" s="33"/>
      <c r="E312" s="44" t="e">
        <f>VLOOKUP(A312,Lists!$U$1:$V$121,2,FALSE)</f>
        <v>#N/A</v>
      </c>
      <c r="F312" s="34"/>
      <c r="G312" s="35"/>
      <c r="H312" s="35"/>
      <c r="I312" s="48">
        <f t="shared" si="4"/>
        <v>0</v>
      </c>
      <c r="J312" s="36"/>
      <c r="K312" s="36"/>
      <c r="L312" s="39" t="e">
        <f>VLOOKUP('Time Tracking'!$D312,Lists!O:P,2,FALSE)</f>
        <v>#N/A</v>
      </c>
      <c r="M312" s="51" t="e">
        <f>VLOOKUP(C312,Lists!$R$1:$S$15,2,FALSE)</f>
        <v>#N/A</v>
      </c>
      <c r="N312" s="37"/>
    </row>
    <row r="313" spans="1:14" s="24" customFormat="1" x14ac:dyDescent="0.25">
      <c r="A313" s="32"/>
      <c r="B313" s="33"/>
      <c r="C313" s="33"/>
      <c r="D313" s="33"/>
      <c r="E313" s="44" t="e">
        <f>VLOOKUP(A313,Lists!$U$1:$V$121,2,FALSE)</f>
        <v>#N/A</v>
      </c>
      <c r="F313" s="34"/>
      <c r="G313" s="35"/>
      <c r="H313" s="35"/>
      <c r="I313" s="48">
        <f t="shared" si="4"/>
        <v>0</v>
      </c>
      <c r="J313" s="36"/>
      <c r="K313" s="36"/>
      <c r="L313" s="39" t="e">
        <f>VLOOKUP('Time Tracking'!$D313,Lists!O:P,2,FALSE)</f>
        <v>#N/A</v>
      </c>
      <c r="M313" s="51" t="e">
        <f>VLOOKUP(C313,Lists!$R$1:$S$15,2,FALSE)</f>
        <v>#N/A</v>
      </c>
      <c r="N313" s="37"/>
    </row>
    <row r="314" spans="1:14" s="24" customFormat="1" x14ac:dyDescent="0.25">
      <c r="A314" s="32"/>
      <c r="B314" s="33"/>
      <c r="C314" s="33"/>
      <c r="D314" s="33"/>
      <c r="E314" s="44" t="e">
        <f>VLOOKUP(A314,Lists!$U$1:$V$121,2,FALSE)</f>
        <v>#N/A</v>
      </c>
      <c r="F314" s="34"/>
      <c r="G314" s="35"/>
      <c r="H314" s="35"/>
      <c r="I314" s="48">
        <f t="shared" si="4"/>
        <v>0</v>
      </c>
      <c r="J314" s="36"/>
      <c r="K314" s="36"/>
      <c r="L314" s="39" t="e">
        <f>VLOOKUP('Time Tracking'!$D314,Lists!O:P,2,FALSE)</f>
        <v>#N/A</v>
      </c>
      <c r="M314" s="51" t="e">
        <f>VLOOKUP(C314,Lists!$R$1:$S$15,2,FALSE)</f>
        <v>#N/A</v>
      </c>
      <c r="N314" s="37"/>
    </row>
    <row r="315" spans="1:14" s="24" customFormat="1" x14ac:dyDescent="0.25">
      <c r="A315" s="32"/>
      <c r="B315" s="33"/>
      <c r="C315" s="33"/>
      <c r="D315" s="33"/>
      <c r="E315" s="44" t="e">
        <f>VLOOKUP(A315,Lists!$U$1:$V$121,2,FALSE)</f>
        <v>#N/A</v>
      </c>
      <c r="F315" s="34"/>
      <c r="G315" s="35"/>
      <c r="H315" s="35"/>
      <c r="I315" s="48">
        <f t="shared" si="4"/>
        <v>0</v>
      </c>
      <c r="J315" s="36"/>
      <c r="K315" s="36"/>
      <c r="L315" s="39" t="e">
        <f>VLOOKUP('Time Tracking'!$D315,Lists!O:P,2,FALSE)</f>
        <v>#N/A</v>
      </c>
      <c r="M315" s="51" t="e">
        <f>VLOOKUP(C315,Lists!$R$1:$S$15,2,FALSE)</f>
        <v>#N/A</v>
      </c>
      <c r="N315" s="37"/>
    </row>
    <row r="316" spans="1:14" s="24" customFormat="1" x14ac:dyDescent="0.25">
      <c r="A316" s="32"/>
      <c r="B316" s="33"/>
      <c r="C316" s="33"/>
      <c r="D316" s="33"/>
      <c r="E316" s="44" t="e">
        <f>VLOOKUP(A316,Lists!$U$1:$V$121,2,FALSE)</f>
        <v>#N/A</v>
      </c>
      <c r="F316" s="34"/>
      <c r="G316" s="35"/>
      <c r="H316" s="35"/>
      <c r="I316" s="48">
        <f t="shared" si="4"/>
        <v>0</v>
      </c>
      <c r="J316" s="36"/>
      <c r="K316" s="36"/>
      <c r="L316" s="39" t="e">
        <f>VLOOKUP('Time Tracking'!$D316,Lists!O:P,2,FALSE)</f>
        <v>#N/A</v>
      </c>
      <c r="M316" s="51" t="e">
        <f>VLOOKUP(C316,Lists!$R$1:$S$15,2,FALSE)</f>
        <v>#N/A</v>
      </c>
      <c r="N316" s="37"/>
    </row>
    <row r="317" spans="1:14" s="24" customFormat="1" x14ac:dyDescent="0.25">
      <c r="A317" s="32"/>
      <c r="B317" s="33"/>
      <c r="C317" s="33"/>
      <c r="D317" s="33"/>
      <c r="E317" s="44" t="e">
        <f>VLOOKUP(A317,Lists!$U$1:$V$121,2,FALSE)</f>
        <v>#N/A</v>
      </c>
      <c r="F317" s="34"/>
      <c r="G317" s="35"/>
      <c r="H317" s="35"/>
      <c r="I317" s="48">
        <f t="shared" si="4"/>
        <v>0</v>
      </c>
      <c r="J317" s="36"/>
      <c r="K317" s="36"/>
      <c r="L317" s="39" t="e">
        <f>VLOOKUP('Time Tracking'!$D317,Lists!O:P,2,FALSE)</f>
        <v>#N/A</v>
      </c>
      <c r="M317" s="51" t="e">
        <f>VLOOKUP(C317,Lists!$R$1:$S$15,2,FALSE)</f>
        <v>#N/A</v>
      </c>
      <c r="N317" s="37"/>
    </row>
    <row r="318" spans="1:14" s="24" customFormat="1" x14ac:dyDescent="0.25">
      <c r="A318" s="32"/>
      <c r="B318" s="33"/>
      <c r="C318" s="33"/>
      <c r="D318" s="33"/>
      <c r="E318" s="44" t="e">
        <f>VLOOKUP(A318,Lists!$U$1:$V$121,2,FALSE)</f>
        <v>#N/A</v>
      </c>
      <c r="F318" s="34"/>
      <c r="G318" s="35"/>
      <c r="H318" s="35"/>
      <c r="I318" s="48">
        <f t="shared" si="4"/>
        <v>0</v>
      </c>
      <c r="J318" s="36"/>
      <c r="K318" s="36"/>
      <c r="L318" s="39" t="e">
        <f>VLOOKUP('Time Tracking'!$D318,Lists!O:P,2,FALSE)</f>
        <v>#N/A</v>
      </c>
      <c r="M318" s="51" t="e">
        <f>VLOOKUP(C318,Lists!$R$1:$S$15,2,FALSE)</f>
        <v>#N/A</v>
      </c>
      <c r="N318" s="37"/>
    </row>
    <row r="319" spans="1:14" s="24" customFormat="1" x14ac:dyDescent="0.25">
      <c r="A319" s="32"/>
      <c r="B319" s="33"/>
      <c r="C319" s="33"/>
      <c r="D319" s="33"/>
      <c r="E319" s="44" t="e">
        <f>VLOOKUP(A319,Lists!$U$1:$V$121,2,FALSE)</f>
        <v>#N/A</v>
      </c>
      <c r="F319" s="34"/>
      <c r="G319" s="35"/>
      <c r="H319" s="35"/>
      <c r="I319" s="48">
        <f t="shared" si="4"/>
        <v>0</v>
      </c>
      <c r="J319" s="36"/>
      <c r="K319" s="36"/>
      <c r="L319" s="39" t="e">
        <f>VLOOKUP('Time Tracking'!$D319,Lists!O:P,2,FALSE)</f>
        <v>#N/A</v>
      </c>
      <c r="M319" s="51" t="e">
        <f>VLOOKUP(C319,Lists!$R$1:$S$15,2,FALSE)</f>
        <v>#N/A</v>
      </c>
      <c r="N319" s="37"/>
    </row>
    <row r="320" spans="1:14" s="24" customFormat="1" x14ac:dyDescent="0.25">
      <c r="A320" s="32"/>
      <c r="B320" s="33"/>
      <c r="C320" s="33"/>
      <c r="D320" s="33"/>
      <c r="E320" s="44" t="e">
        <f>VLOOKUP(A320,Lists!$U$1:$V$121,2,FALSE)</f>
        <v>#N/A</v>
      </c>
      <c r="F320" s="34"/>
      <c r="G320" s="35"/>
      <c r="H320" s="35"/>
      <c r="I320" s="48">
        <f t="shared" si="4"/>
        <v>0</v>
      </c>
      <c r="J320" s="36"/>
      <c r="K320" s="36"/>
      <c r="L320" s="39" t="e">
        <f>VLOOKUP('Time Tracking'!$D320,Lists!O:P,2,FALSE)</f>
        <v>#N/A</v>
      </c>
      <c r="M320" s="51" t="e">
        <f>VLOOKUP(C320,Lists!$R$1:$S$15,2,FALSE)</f>
        <v>#N/A</v>
      </c>
      <c r="N320" s="37"/>
    </row>
    <row r="321" spans="1:14" s="24" customFormat="1" x14ac:dyDescent="0.25">
      <c r="A321" s="32"/>
      <c r="B321" s="33"/>
      <c r="C321" s="33"/>
      <c r="D321" s="33"/>
      <c r="E321" s="44" t="e">
        <f>VLOOKUP(A321,Lists!$U$1:$V$121,2,FALSE)</f>
        <v>#N/A</v>
      </c>
      <c r="F321" s="34"/>
      <c r="G321" s="35"/>
      <c r="H321" s="35"/>
      <c r="I321" s="48">
        <f t="shared" si="4"/>
        <v>0</v>
      </c>
      <c r="J321" s="36"/>
      <c r="K321" s="36"/>
      <c r="L321" s="39" t="e">
        <f>VLOOKUP('Time Tracking'!$D321,Lists!O:P,2,FALSE)</f>
        <v>#N/A</v>
      </c>
      <c r="M321" s="51" t="e">
        <f>VLOOKUP(C321,Lists!$R$1:$S$15,2,FALSE)</f>
        <v>#N/A</v>
      </c>
      <c r="N321" s="37"/>
    </row>
    <row r="322" spans="1:14" s="24" customFormat="1" x14ac:dyDescent="0.25">
      <c r="A322" s="32"/>
      <c r="B322" s="33"/>
      <c r="C322" s="33"/>
      <c r="D322" s="33"/>
      <c r="E322" s="44" t="e">
        <f>VLOOKUP(A322,Lists!$U$1:$V$121,2,FALSE)</f>
        <v>#N/A</v>
      </c>
      <c r="F322" s="34"/>
      <c r="G322" s="35"/>
      <c r="H322" s="35"/>
      <c r="I322" s="48">
        <f t="shared" ref="I322:I385" si="5">(IFERROR(TEXT(H322-G322,"h:mm"),"0:00"))*24</f>
        <v>0</v>
      </c>
      <c r="J322" s="36"/>
      <c r="K322" s="36"/>
      <c r="L322" s="39" t="e">
        <f>VLOOKUP('Time Tracking'!$D322,Lists!O:P,2,FALSE)</f>
        <v>#N/A</v>
      </c>
      <c r="M322" s="51" t="e">
        <f>VLOOKUP(C322,Lists!$R$1:$S$15,2,FALSE)</f>
        <v>#N/A</v>
      </c>
      <c r="N322" s="37"/>
    </row>
    <row r="323" spans="1:14" s="24" customFormat="1" x14ac:dyDescent="0.25">
      <c r="A323" s="32"/>
      <c r="B323" s="33"/>
      <c r="C323" s="33"/>
      <c r="D323" s="33"/>
      <c r="E323" s="44" t="e">
        <f>VLOOKUP(A323,Lists!$U$1:$V$121,2,FALSE)</f>
        <v>#N/A</v>
      </c>
      <c r="F323" s="34"/>
      <c r="G323" s="35"/>
      <c r="H323" s="35"/>
      <c r="I323" s="48">
        <f t="shared" si="5"/>
        <v>0</v>
      </c>
      <c r="J323" s="36"/>
      <c r="K323" s="36"/>
      <c r="L323" s="39" t="e">
        <f>VLOOKUP('Time Tracking'!$D323,Lists!O:P,2,FALSE)</f>
        <v>#N/A</v>
      </c>
      <c r="M323" s="51" t="e">
        <f>VLOOKUP(C323,Lists!$R$1:$S$15,2,FALSE)</f>
        <v>#N/A</v>
      </c>
      <c r="N323" s="37"/>
    </row>
    <row r="324" spans="1:14" s="24" customFormat="1" x14ac:dyDescent="0.25">
      <c r="A324" s="32"/>
      <c r="B324" s="33"/>
      <c r="C324" s="33"/>
      <c r="D324" s="33"/>
      <c r="E324" s="44" t="e">
        <f>VLOOKUP(A324,Lists!$U$1:$V$121,2,FALSE)</f>
        <v>#N/A</v>
      </c>
      <c r="F324" s="34"/>
      <c r="G324" s="35"/>
      <c r="H324" s="35"/>
      <c r="I324" s="48">
        <f t="shared" si="5"/>
        <v>0</v>
      </c>
      <c r="J324" s="36"/>
      <c r="K324" s="36"/>
      <c r="L324" s="39" t="e">
        <f>VLOOKUP('Time Tracking'!$D324,Lists!O:P,2,FALSE)</f>
        <v>#N/A</v>
      </c>
      <c r="M324" s="51" t="e">
        <f>VLOOKUP(C324,Lists!$R$1:$S$15,2,FALSE)</f>
        <v>#N/A</v>
      </c>
      <c r="N324" s="37"/>
    </row>
    <row r="325" spans="1:14" s="24" customFormat="1" x14ac:dyDescent="0.25">
      <c r="A325" s="32"/>
      <c r="B325" s="33"/>
      <c r="C325" s="33"/>
      <c r="D325" s="33"/>
      <c r="E325" s="44" t="e">
        <f>VLOOKUP(A325,Lists!$U$1:$V$121,2,FALSE)</f>
        <v>#N/A</v>
      </c>
      <c r="F325" s="34"/>
      <c r="G325" s="35"/>
      <c r="H325" s="35"/>
      <c r="I325" s="48">
        <f t="shared" si="5"/>
        <v>0</v>
      </c>
      <c r="J325" s="36"/>
      <c r="K325" s="36"/>
      <c r="L325" s="39" t="e">
        <f>VLOOKUP('Time Tracking'!$D325,Lists!O:P,2,FALSE)</f>
        <v>#N/A</v>
      </c>
      <c r="M325" s="51" t="e">
        <f>VLOOKUP(C325,Lists!$R$1:$S$15,2,FALSE)</f>
        <v>#N/A</v>
      </c>
      <c r="N325" s="37"/>
    </row>
    <row r="326" spans="1:14" s="24" customFormat="1" x14ac:dyDescent="0.25">
      <c r="A326" s="32"/>
      <c r="B326" s="33"/>
      <c r="C326" s="33"/>
      <c r="D326" s="33"/>
      <c r="E326" s="44" t="e">
        <f>VLOOKUP(A326,Lists!$U$1:$V$121,2,FALSE)</f>
        <v>#N/A</v>
      </c>
      <c r="F326" s="34"/>
      <c r="G326" s="35"/>
      <c r="H326" s="35"/>
      <c r="I326" s="48">
        <f t="shared" si="5"/>
        <v>0</v>
      </c>
      <c r="J326" s="36"/>
      <c r="K326" s="36"/>
      <c r="L326" s="39" t="e">
        <f>VLOOKUP('Time Tracking'!$D326,Lists!O:P,2,FALSE)</f>
        <v>#N/A</v>
      </c>
      <c r="M326" s="51" t="e">
        <f>VLOOKUP(C326,Lists!$R$1:$S$15,2,FALSE)</f>
        <v>#N/A</v>
      </c>
      <c r="N326" s="37"/>
    </row>
    <row r="327" spans="1:14" s="24" customFormat="1" x14ac:dyDescent="0.25">
      <c r="A327" s="32"/>
      <c r="B327" s="33"/>
      <c r="C327" s="33"/>
      <c r="D327" s="33"/>
      <c r="E327" s="44" t="e">
        <f>VLOOKUP(A327,Lists!$U$1:$V$121,2,FALSE)</f>
        <v>#N/A</v>
      </c>
      <c r="F327" s="34"/>
      <c r="G327" s="35"/>
      <c r="H327" s="35"/>
      <c r="I327" s="48">
        <f t="shared" si="5"/>
        <v>0</v>
      </c>
      <c r="J327" s="36"/>
      <c r="K327" s="36"/>
      <c r="L327" s="39" t="e">
        <f>VLOOKUP('Time Tracking'!$D327,Lists!O:P,2,FALSE)</f>
        <v>#N/A</v>
      </c>
      <c r="M327" s="51" t="e">
        <f>VLOOKUP(C327,Lists!$R$1:$S$15,2,FALSE)</f>
        <v>#N/A</v>
      </c>
      <c r="N327" s="37"/>
    </row>
    <row r="328" spans="1:14" s="24" customFormat="1" x14ac:dyDescent="0.25">
      <c r="A328" s="32"/>
      <c r="B328" s="33"/>
      <c r="C328" s="33"/>
      <c r="D328" s="33"/>
      <c r="E328" s="44" t="e">
        <f>VLOOKUP(A328,Lists!$U$1:$V$121,2,FALSE)</f>
        <v>#N/A</v>
      </c>
      <c r="F328" s="34"/>
      <c r="G328" s="35"/>
      <c r="H328" s="35"/>
      <c r="I328" s="48">
        <f t="shared" si="5"/>
        <v>0</v>
      </c>
      <c r="J328" s="36"/>
      <c r="K328" s="36"/>
      <c r="L328" s="39" t="e">
        <f>VLOOKUP('Time Tracking'!$D328,Lists!O:P,2,FALSE)</f>
        <v>#N/A</v>
      </c>
      <c r="M328" s="51" t="e">
        <f>VLOOKUP(C328,Lists!$R$1:$S$15,2,FALSE)</f>
        <v>#N/A</v>
      </c>
      <c r="N328" s="37"/>
    </row>
    <row r="329" spans="1:14" s="24" customFormat="1" x14ac:dyDescent="0.25">
      <c r="A329" s="32"/>
      <c r="B329" s="33"/>
      <c r="C329" s="33"/>
      <c r="D329" s="33"/>
      <c r="E329" s="44" t="e">
        <f>VLOOKUP(A329,Lists!$U$1:$V$121,2,FALSE)</f>
        <v>#N/A</v>
      </c>
      <c r="F329" s="34"/>
      <c r="G329" s="35"/>
      <c r="H329" s="35"/>
      <c r="I329" s="48">
        <f t="shared" si="5"/>
        <v>0</v>
      </c>
      <c r="J329" s="36"/>
      <c r="K329" s="36"/>
      <c r="L329" s="39" t="e">
        <f>VLOOKUP('Time Tracking'!$D329,Lists!O:P,2,FALSE)</f>
        <v>#N/A</v>
      </c>
      <c r="M329" s="51" t="e">
        <f>VLOOKUP(C329,Lists!$R$1:$S$15,2,FALSE)</f>
        <v>#N/A</v>
      </c>
      <c r="N329" s="37"/>
    </row>
    <row r="330" spans="1:14" s="24" customFormat="1" x14ac:dyDescent="0.25">
      <c r="A330" s="32"/>
      <c r="B330" s="33"/>
      <c r="C330" s="33"/>
      <c r="D330" s="33"/>
      <c r="E330" s="44" t="e">
        <f>VLOOKUP(A330,Lists!$U$1:$V$121,2,FALSE)</f>
        <v>#N/A</v>
      </c>
      <c r="F330" s="34"/>
      <c r="G330" s="35"/>
      <c r="H330" s="35"/>
      <c r="I330" s="48">
        <f t="shared" si="5"/>
        <v>0</v>
      </c>
      <c r="J330" s="36"/>
      <c r="K330" s="36"/>
      <c r="L330" s="39" t="e">
        <f>VLOOKUP('Time Tracking'!$D330,Lists!O:P,2,FALSE)</f>
        <v>#N/A</v>
      </c>
      <c r="M330" s="51" t="e">
        <f>VLOOKUP(C330,Lists!$R$1:$S$15,2,FALSE)</f>
        <v>#N/A</v>
      </c>
      <c r="N330" s="37"/>
    </row>
    <row r="331" spans="1:14" s="24" customFormat="1" x14ac:dyDescent="0.25">
      <c r="A331" s="32"/>
      <c r="B331" s="33"/>
      <c r="C331" s="33"/>
      <c r="D331" s="33"/>
      <c r="E331" s="44" t="e">
        <f>VLOOKUP(A331,Lists!$U$1:$V$121,2,FALSE)</f>
        <v>#N/A</v>
      </c>
      <c r="F331" s="34"/>
      <c r="G331" s="35"/>
      <c r="H331" s="35"/>
      <c r="I331" s="48">
        <f t="shared" si="5"/>
        <v>0</v>
      </c>
      <c r="J331" s="36"/>
      <c r="K331" s="36"/>
      <c r="L331" s="39" t="e">
        <f>VLOOKUP('Time Tracking'!$D331,Lists!O:P,2,FALSE)</f>
        <v>#N/A</v>
      </c>
      <c r="M331" s="51" t="e">
        <f>VLOOKUP(C331,Lists!$R$1:$S$15,2,FALSE)</f>
        <v>#N/A</v>
      </c>
      <c r="N331" s="37"/>
    </row>
    <row r="332" spans="1:14" s="24" customFormat="1" x14ac:dyDescent="0.25">
      <c r="A332" s="32"/>
      <c r="B332" s="33"/>
      <c r="C332" s="33"/>
      <c r="D332" s="33"/>
      <c r="E332" s="44" t="e">
        <f>VLOOKUP(A332,Lists!$U$1:$V$121,2,FALSE)</f>
        <v>#N/A</v>
      </c>
      <c r="F332" s="34"/>
      <c r="G332" s="35"/>
      <c r="H332" s="35"/>
      <c r="I332" s="48">
        <f t="shared" si="5"/>
        <v>0</v>
      </c>
      <c r="J332" s="36"/>
      <c r="K332" s="36"/>
      <c r="L332" s="39" t="e">
        <f>VLOOKUP('Time Tracking'!$D332,Lists!O:P,2,FALSE)</f>
        <v>#N/A</v>
      </c>
      <c r="M332" s="51" t="e">
        <f>VLOOKUP(C332,Lists!$R$1:$S$15,2,FALSE)</f>
        <v>#N/A</v>
      </c>
      <c r="N332" s="37"/>
    </row>
    <row r="333" spans="1:14" s="24" customFormat="1" x14ac:dyDescent="0.25">
      <c r="A333" s="32"/>
      <c r="B333" s="33"/>
      <c r="C333" s="33"/>
      <c r="D333" s="33"/>
      <c r="E333" s="44" t="e">
        <f>VLOOKUP(A333,Lists!$U$1:$V$121,2,FALSE)</f>
        <v>#N/A</v>
      </c>
      <c r="F333" s="34"/>
      <c r="G333" s="35"/>
      <c r="H333" s="35"/>
      <c r="I333" s="48">
        <f t="shared" si="5"/>
        <v>0</v>
      </c>
      <c r="J333" s="36"/>
      <c r="K333" s="36"/>
      <c r="L333" s="39" t="e">
        <f>VLOOKUP('Time Tracking'!$D333,Lists!O:P,2,FALSE)</f>
        <v>#N/A</v>
      </c>
      <c r="M333" s="51" t="e">
        <f>VLOOKUP(C333,Lists!$R$1:$S$15,2,FALSE)</f>
        <v>#N/A</v>
      </c>
      <c r="N333" s="37"/>
    </row>
    <row r="334" spans="1:14" s="24" customFormat="1" x14ac:dyDescent="0.25">
      <c r="A334" s="32"/>
      <c r="B334" s="33"/>
      <c r="C334" s="33"/>
      <c r="D334" s="33"/>
      <c r="E334" s="44" t="e">
        <f>VLOOKUP(A334,Lists!$U$1:$V$121,2,FALSE)</f>
        <v>#N/A</v>
      </c>
      <c r="F334" s="34"/>
      <c r="G334" s="35"/>
      <c r="H334" s="35"/>
      <c r="I334" s="48">
        <f t="shared" si="5"/>
        <v>0</v>
      </c>
      <c r="J334" s="36"/>
      <c r="K334" s="36"/>
      <c r="L334" s="39" t="e">
        <f>VLOOKUP('Time Tracking'!$D334,Lists!O:P,2,FALSE)</f>
        <v>#N/A</v>
      </c>
      <c r="M334" s="51" t="e">
        <f>VLOOKUP(C334,Lists!$R$1:$S$15,2,FALSE)</f>
        <v>#N/A</v>
      </c>
      <c r="N334" s="37"/>
    </row>
    <row r="335" spans="1:14" s="24" customFormat="1" x14ac:dyDescent="0.25">
      <c r="A335" s="32"/>
      <c r="B335" s="33"/>
      <c r="C335" s="33"/>
      <c r="D335" s="33"/>
      <c r="E335" s="44" t="e">
        <f>VLOOKUP(A335,Lists!$U$1:$V$121,2,FALSE)</f>
        <v>#N/A</v>
      </c>
      <c r="F335" s="34"/>
      <c r="G335" s="35"/>
      <c r="H335" s="35"/>
      <c r="I335" s="48">
        <f t="shared" si="5"/>
        <v>0</v>
      </c>
      <c r="J335" s="36"/>
      <c r="K335" s="36"/>
      <c r="L335" s="39" t="e">
        <f>VLOOKUP('Time Tracking'!$D335,Lists!O:P,2,FALSE)</f>
        <v>#N/A</v>
      </c>
      <c r="M335" s="51" t="e">
        <f>VLOOKUP(C335,Lists!$R$1:$S$15,2,FALSE)</f>
        <v>#N/A</v>
      </c>
      <c r="N335" s="37"/>
    </row>
    <row r="336" spans="1:14" s="24" customFormat="1" x14ac:dyDescent="0.25">
      <c r="A336" s="32"/>
      <c r="B336" s="33"/>
      <c r="C336" s="33"/>
      <c r="D336" s="33"/>
      <c r="E336" s="44" t="e">
        <f>VLOOKUP(A336,Lists!$U$1:$V$121,2,FALSE)</f>
        <v>#N/A</v>
      </c>
      <c r="F336" s="34"/>
      <c r="G336" s="35"/>
      <c r="H336" s="35"/>
      <c r="I336" s="48">
        <f t="shared" si="5"/>
        <v>0</v>
      </c>
      <c r="J336" s="36"/>
      <c r="K336" s="36"/>
      <c r="L336" s="39" t="e">
        <f>VLOOKUP('Time Tracking'!$D336,Lists!O:P,2,FALSE)</f>
        <v>#N/A</v>
      </c>
      <c r="M336" s="51" t="e">
        <f>VLOOKUP(C336,Lists!$R$1:$S$15,2,FALSE)</f>
        <v>#N/A</v>
      </c>
      <c r="N336" s="37"/>
    </row>
    <row r="337" spans="1:14" s="24" customFormat="1" x14ac:dyDescent="0.25">
      <c r="A337" s="32"/>
      <c r="B337" s="33"/>
      <c r="C337" s="33"/>
      <c r="D337" s="33"/>
      <c r="E337" s="44" t="e">
        <f>VLOOKUP(A337,Lists!$U$1:$V$121,2,FALSE)</f>
        <v>#N/A</v>
      </c>
      <c r="F337" s="34"/>
      <c r="G337" s="35"/>
      <c r="H337" s="35"/>
      <c r="I337" s="48">
        <f t="shared" si="5"/>
        <v>0</v>
      </c>
      <c r="J337" s="36"/>
      <c r="K337" s="36"/>
      <c r="L337" s="39" t="e">
        <f>VLOOKUP('Time Tracking'!$D337,Lists!O:P,2,FALSE)</f>
        <v>#N/A</v>
      </c>
      <c r="M337" s="51" t="e">
        <f>VLOOKUP(C337,Lists!$R$1:$S$15,2,FALSE)</f>
        <v>#N/A</v>
      </c>
      <c r="N337" s="37"/>
    </row>
    <row r="338" spans="1:14" s="24" customFormat="1" x14ac:dyDescent="0.25">
      <c r="A338" s="32"/>
      <c r="B338" s="33"/>
      <c r="C338" s="33"/>
      <c r="D338" s="33"/>
      <c r="E338" s="44" t="e">
        <f>VLOOKUP(A338,Lists!$U$1:$V$121,2,FALSE)</f>
        <v>#N/A</v>
      </c>
      <c r="F338" s="34"/>
      <c r="G338" s="35"/>
      <c r="H338" s="35"/>
      <c r="I338" s="48">
        <f t="shared" si="5"/>
        <v>0</v>
      </c>
      <c r="J338" s="36"/>
      <c r="K338" s="36"/>
      <c r="L338" s="39" t="e">
        <f>VLOOKUP('Time Tracking'!$D338,Lists!O:P,2,FALSE)</f>
        <v>#N/A</v>
      </c>
      <c r="M338" s="51" t="e">
        <f>VLOOKUP(C338,Lists!$R$1:$S$15,2,FALSE)</f>
        <v>#N/A</v>
      </c>
      <c r="N338" s="37"/>
    </row>
    <row r="339" spans="1:14" s="24" customFormat="1" x14ac:dyDescent="0.25">
      <c r="A339" s="32"/>
      <c r="B339" s="33"/>
      <c r="C339" s="33"/>
      <c r="D339" s="33"/>
      <c r="E339" s="44" t="e">
        <f>VLOOKUP(A339,Lists!$U$1:$V$121,2,FALSE)</f>
        <v>#N/A</v>
      </c>
      <c r="F339" s="34"/>
      <c r="G339" s="35"/>
      <c r="H339" s="35"/>
      <c r="I339" s="48">
        <f t="shared" si="5"/>
        <v>0</v>
      </c>
      <c r="J339" s="36"/>
      <c r="K339" s="36"/>
      <c r="L339" s="39" t="e">
        <f>VLOOKUP('Time Tracking'!$D339,Lists!O:P,2,FALSE)</f>
        <v>#N/A</v>
      </c>
      <c r="M339" s="51" t="e">
        <f>VLOOKUP(C339,Lists!$R$1:$S$15,2,FALSE)</f>
        <v>#N/A</v>
      </c>
      <c r="N339" s="37"/>
    </row>
    <row r="340" spans="1:14" s="24" customFormat="1" x14ac:dyDescent="0.25">
      <c r="A340" s="32"/>
      <c r="B340" s="33"/>
      <c r="C340" s="33"/>
      <c r="D340" s="33"/>
      <c r="E340" s="44" t="e">
        <f>VLOOKUP(A340,Lists!$U$1:$V$121,2,FALSE)</f>
        <v>#N/A</v>
      </c>
      <c r="F340" s="34"/>
      <c r="G340" s="35"/>
      <c r="H340" s="35"/>
      <c r="I340" s="48">
        <f t="shared" si="5"/>
        <v>0</v>
      </c>
      <c r="J340" s="36"/>
      <c r="K340" s="36"/>
      <c r="L340" s="39" t="e">
        <f>VLOOKUP('Time Tracking'!$D340,Lists!O:P,2,FALSE)</f>
        <v>#N/A</v>
      </c>
      <c r="M340" s="51" t="e">
        <f>VLOOKUP(C340,Lists!$R$1:$S$15,2,FALSE)</f>
        <v>#N/A</v>
      </c>
      <c r="N340" s="37"/>
    </row>
    <row r="341" spans="1:14" s="24" customFormat="1" x14ac:dyDescent="0.25">
      <c r="A341" s="32"/>
      <c r="B341" s="33"/>
      <c r="C341" s="33"/>
      <c r="D341" s="33"/>
      <c r="E341" s="44" t="e">
        <f>VLOOKUP(A341,Lists!$U$1:$V$121,2,FALSE)</f>
        <v>#N/A</v>
      </c>
      <c r="F341" s="34"/>
      <c r="G341" s="35"/>
      <c r="H341" s="35"/>
      <c r="I341" s="48">
        <f t="shared" si="5"/>
        <v>0</v>
      </c>
      <c r="J341" s="36"/>
      <c r="K341" s="36"/>
      <c r="L341" s="39" t="e">
        <f>VLOOKUP('Time Tracking'!$D341,Lists!O:P,2,FALSE)</f>
        <v>#N/A</v>
      </c>
      <c r="M341" s="51" t="e">
        <f>VLOOKUP(C341,Lists!$R$1:$S$15,2,FALSE)</f>
        <v>#N/A</v>
      </c>
      <c r="N341" s="37"/>
    </row>
    <row r="342" spans="1:14" s="24" customFormat="1" x14ac:dyDescent="0.25">
      <c r="A342" s="32"/>
      <c r="B342" s="33"/>
      <c r="C342" s="33"/>
      <c r="D342" s="33"/>
      <c r="E342" s="44" t="e">
        <f>VLOOKUP(A342,Lists!$U$1:$V$121,2,FALSE)</f>
        <v>#N/A</v>
      </c>
      <c r="F342" s="34"/>
      <c r="G342" s="35"/>
      <c r="H342" s="35"/>
      <c r="I342" s="48">
        <f t="shared" si="5"/>
        <v>0</v>
      </c>
      <c r="J342" s="36"/>
      <c r="K342" s="36"/>
      <c r="L342" s="39" t="e">
        <f>VLOOKUP('Time Tracking'!$D342,Lists!O:P,2,FALSE)</f>
        <v>#N/A</v>
      </c>
      <c r="M342" s="51" t="e">
        <f>VLOOKUP(C342,Lists!$R$1:$S$15,2,FALSE)</f>
        <v>#N/A</v>
      </c>
      <c r="N342" s="37"/>
    </row>
    <row r="343" spans="1:14" s="24" customFormat="1" x14ac:dyDescent="0.25">
      <c r="A343" s="32"/>
      <c r="B343" s="33"/>
      <c r="C343" s="33"/>
      <c r="D343" s="33"/>
      <c r="E343" s="44" t="e">
        <f>VLOOKUP(A343,Lists!$U$1:$V$121,2,FALSE)</f>
        <v>#N/A</v>
      </c>
      <c r="F343" s="34"/>
      <c r="G343" s="35"/>
      <c r="H343" s="35"/>
      <c r="I343" s="48">
        <f t="shared" si="5"/>
        <v>0</v>
      </c>
      <c r="J343" s="36"/>
      <c r="K343" s="36"/>
      <c r="L343" s="39" t="e">
        <f>VLOOKUP('Time Tracking'!$D343,Lists!O:P,2,FALSE)</f>
        <v>#N/A</v>
      </c>
      <c r="M343" s="51" t="e">
        <f>VLOOKUP(C343,Lists!$R$1:$S$15,2,FALSE)</f>
        <v>#N/A</v>
      </c>
      <c r="N343" s="37"/>
    </row>
    <row r="344" spans="1:14" s="24" customFormat="1" x14ac:dyDescent="0.25">
      <c r="A344" s="32"/>
      <c r="B344" s="33"/>
      <c r="C344" s="33"/>
      <c r="D344" s="33"/>
      <c r="E344" s="44" t="e">
        <f>VLOOKUP(A344,Lists!$U$1:$V$121,2,FALSE)</f>
        <v>#N/A</v>
      </c>
      <c r="F344" s="34"/>
      <c r="G344" s="35"/>
      <c r="H344" s="35"/>
      <c r="I344" s="48">
        <f t="shared" si="5"/>
        <v>0</v>
      </c>
      <c r="J344" s="36"/>
      <c r="K344" s="36"/>
      <c r="L344" s="39" t="e">
        <f>VLOOKUP('Time Tracking'!$D344,Lists!O:P,2,FALSE)</f>
        <v>#N/A</v>
      </c>
      <c r="M344" s="51" t="e">
        <f>VLOOKUP(C344,Lists!$R$1:$S$15,2,FALSE)</f>
        <v>#N/A</v>
      </c>
      <c r="N344" s="37"/>
    </row>
    <row r="345" spans="1:14" s="24" customFormat="1" x14ac:dyDescent="0.25">
      <c r="A345" s="32"/>
      <c r="B345" s="33"/>
      <c r="C345" s="33"/>
      <c r="D345" s="33"/>
      <c r="E345" s="44" t="e">
        <f>VLOOKUP(A345,Lists!$U$1:$V$121,2,FALSE)</f>
        <v>#N/A</v>
      </c>
      <c r="F345" s="34"/>
      <c r="G345" s="35"/>
      <c r="H345" s="35"/>
      <c r="I345" s="48">
        <f t="shared" si="5"/>
        <v>0</v>
      </c>
      <c r="J345" s="36"/>
      <c r="K345" s="36"/>
      <c r="L345" s="39" t="e">
        <f>VLOOKUP('Time Tracking'!$D345,Lists!O:P,2,FALSE)</f>
        <v>#N/A</v>
      </c>
      <c r="M345" s="51" t="e">
        <f>VLOOKUP(C345,Lists!$R$1:$S$15,2,FALSE)</f>
        <v>#N/A</v>
      </c>
      <c r="N345" s="37"/>
    </row>
    <row r="346" spans="1:14" s="24" customFormat="1" x14ac:dyDescent="0.25">
      <c r="A346" s="32"/>
      <c r="B346" s="33"/>
      <c r="C346" s="33"/>
      <c r="D346" s="33"/>
      <c r="E346" s="44" t="e">
        <f>VLOOKUP(A346,Lists!$U$1:$V$121,2,FALSE)</f>
        <v>#N/A</v>
      </c>
      <c r="F346" s="34"/>
      <c r="G346" s="35"/>
      <c r="H346" s="35"/>
      <c r="I346" s="48">
        <f t="shared" si="5"/>
        <v>0</v>
      </c>
      <c r="J346" s="36"/>
      <c r="K346" s="36"/>
      <c r="L346" s="39" t="e">
        <f>VLOOKUP('Time Tracking'!$D346,Lists!O:P,2,FALSE)</f>
        <v>#N/A</v>
      </c>
      <c r="M346" s="51" t="e">
        <f>VLOOKUP(C346,Lists!$R$1:$S$15,2,FALSE)</f>
        <v>#N/A</v>
      </c>
      <c r="N346" s="37"/>
    </row>
    <row r="347" spans="1:14" s="24" customFormat="1" x14ac:dyDescent="0.25">
      <c r="A347" s="32"/>
      <c r="B347" s="33"/>
      <c r="C347" s="33"/>
      <c r="D347" s="33"/>
      <c r="E347" s="44" t="e">
        <f>VLOOKUP(A347,Lists!$U$1:$V$121,2,FALSE)</f>
        <v>#N/A</v>
      </c>
      <c r="F347" s="34"/>
      <c r="G347" s="35"/>
      <c r="H347" s="35"/>
      <c r="I347" s="48">
        <f t="shared" si="5"/>
        <v>0</v>
      </c>
      <c r="J347" s="36"/>
      <c r="K347" s="36"/>
      <c r="L347" s="39" t="e">
        <f>VLOOKUP('Time Tracking'!$D347,Lists!O:P,2,FALSE)</f>
        <v>#N/A</v>
      </c>
      <c r="M347" s="51" t="e">
        <f>VLOOKUP(C347,Lists!$R$1:$S$15,2,FALSE)</f>
        <v>#N/A</v>
      </c>
      <c r="N347" s="37"/>
    </row>
    <row r="348" spans="1:14" s="24" customFormat="1" x14ac:dyDescent="0.25">
      <c r="A348" s="32"/>
      <c r="B348" s="33"/>
      <c r="C348" s="33"/>
      <c r="D348" s="33"/>
      <c r="E348" s="44" t="e">
        <f>VLOOKUP(A348,Lists!$U$1:$V$121,2,FALSE)</f>
        <v>#N/A</v>
      </c>
      <c r="F348" s="34"/>
      <c r="G348" s="35"/>
      <c r="H348" s="35"/>
      <c r="I348" s="48">
        <f t="shared" si="5"/>
        <v>0</v>
      </c>
      <c r="J348" s="36"/>
      <c r="K348" s="36"/>
      <c r="L348" s="39" t="e">
        <f>VLOOKUP('Time Tracking'!$D348,Lists!O:P,2,FALSE)</f>
        <v>#N/A</v>
      </c>
      <c r="M348" s="51" t="e">
        <f>VLOOKUP(C348,Lists!$R$1:$S$15,2,FALSE)</f>
        <v>#N/A</v>
      </c>
      <c r="N348" s="37"/>
    </row>
    <row r="349" spans="1:14" s="24" customFormat="1" x14ac:dyDescent="0.25">
      <c r="A349" s="32"/>
      <c r="B349" s="33"/>
      <c r="C349" s="33"/>
      <c r="D349" s="33"/>
      <c r="E349" s="44" t="e">
        <f>VLOOKUP(A349,Lists!$U$1:$V$121,2,FALSE)</f>
        <v>#N/A</v>
      </c>
      <c r="F349" s="34"/>
      <c r="G349" s="35"/>
      <c r="H349" s="35"/>
      <c r="I349" s="48">
        <f t="shared" si="5"/>
        <v>0</v>
      </c>
      <c r="J349" s="36"/>
      <c r="K349" s="36"/>
      <c r="L349" s="39" t="e">
        <f>VLOOKUP('Time Tracking'!$D349,Lists!O:P,2,FALSE)</f>
        <v>#N/A</v>
      </c>
      <c r="M349" s="51" t="e">
        <f>VLOOKUP(C349,Lists!$R$1:$S$15,2,FALSE)</f>
        <v>#N/A</v>
      </c>
      <c r="N349" s="37"/>
    </row>
    <row r="350" spans="1:14" s="24" customFormat="1" x14ac:dyDescent="0.25">
      <c r="A350" s="32"/>
      <c r="B350" s="33"/>
      <c r="C350" s="33"/>
      <c r="D350" s="33"/>
      <c r="E350" s="44" t="e">
        <f>VLOOKUP(A350,Lists!$U$1:$V$121,2,FALSE)</f>
        <v>#N/A</v>
      </c>
      <c r="F350" s="34"/>
      <c r="G350" s="35"/>
      <c r="H350" s="35"/>
      <c r="I350" s="48">
        <f t="shared" si="5"/>
        <v>0</v>
      </c>
      <c r="J350" s="36"/>
      <c r="K350" s="36"/>
      <c r="L350" s="39" t="e">
        <f>VLOOKUP('Time Tracking'!$D350,Lists!O:P,2,FALSE)</f>
        <v>#N/A</v>
      </c>
      <c r="M350" s="51" t="e">
        <f>VLOOKUP(C350,Lists!$R$1:$S$15,2,FALSE)</f>
        <v>#N/A</v>
      </c>
      <c r="N350" s="37"/>
    </row>
    <row r="351" spans="1:14" s="24" customFormat="1" x14ac:dyDescent="0.25">
      <c r="A351" s="32"/>
      <c r="B351" s="33"/>
      <c r="C351" s="33"/>
      <c r="D351" s="33"/>
      <c r="E351" s="44" t="e">
        <f>VLOOKUP(A351,Lists!$U$1:$V$121,2,FALSE)</f>
        <v>#N/A</v>
      </c>
      <c r="F351" s="34"/>
      <c r="G351" s="35"/>
      <c r="H351" s="35"/>
      <c r="I351" s="48">
        <f t="shared" si="5"/>
        <v>0</v>
      </c>
      <c r="J351" s="36"/>
      <c r="K351" s="36"/>
      <c r="L351" s="39" t="e">
        <f>VLOOKUP('Time Tracking'!$D351,Lists!O:P,2,FALSE)</f>
        <v>#N/A</v>
      </c>
      <c r="M351" s="51" t="e">
        <f>VLOOKUP(C351,Lists!$R$1:$S$15,2,FALSE)</f>
        <v>#N/A</v>
      </c>
      <c r="N351" s="37"/>
    </row>
    <row r="352" spans="1:14" s="24" customFormat="1" x14ac:dyDescent="0.25">
      <c r="A352" s="32"/>
      <c r="B352" s="33"/>
      <c r="C352" s="33"/>
      <c r="D352" s="33"/>
      <c r="E352" s="44" t="e">
        <f>VLOOKUP(A352,Lists!$U$1:$V$121,2,FALSE)</f>
        <v>#N/A</v>
      </c>
      <c r="F352" s="34"/>
      <c r="G352" s="35"/>
      <c r="H352" s="35"/>
      <c r="I352" s="48">
        <f t="shared" si="5"/>
        <v>0</v>
      </c>
      <c r="J352" s="36"/>
      <c r="K352" s="36"/>
      <c r="L352" s="39" t="e">
        <f>VLOOKUP('Time Tracking'!$D352,Lists!O:P,2,FALSE)</f>
        <v>#N/A</v>
      </c>
      <c r="M352" s="51" t="e">
        <f>VLOOKUP(C352,Lists!$R$1:$S$15,2,FALSE)</f>
        <v>#N/A</v>
      </c>
      <c r="N352" s="37"/>
    </row>
    <row r="353" spans="1:14" s="24" customFormat="1" x14ac:dyDescent="0.25">
      <c r="A353" s="32"/>
      <c r="B353" s="33"/>
      <c r="C353" s="33"/>
      <c r="D353" s="33"/>
      <c r="E353" s="44" t="e">
        <f>VLOOKUP(A353,Lists!$U$1:$V$121,2,FALSE)</f>
        <v>#N/A</v>
      </c>
      <c r="F353" s="34"/>
      <c r="G353" s="35"/>
      <c r="H353" s="35"/>
      <c r="I353" s="48">
        <f t="shared" si="5"/>
        <v>0</v>
      </c>
      <c r="J353" s="36"/>
      <c r="K353" s="36"/>
      <c r="L353" s="39" t="e">
        <f>VLOOKUP('Time Tracking'!$D353,Lists!O:P,2,FALSE)</f>
        <v>#N/A</v>
      </c>
      <c r="M353" s="51" t="e">
        <f>VLOOKUP(C353,Lists!$R$1:$S$15,2,FALSE)</f>
        <v>#N/A</v>
      </c>
      <c r="N353" s="37"/>
    </row>
    <row r="354" spans="1:14" s="24" customFormat="1" x14ac:dyDescent="0.25">
      <c r="A354" s="32"/>
      <c r="B354" s="33"/>
      <c r="C354" s="33"/>
      <c r="D354" s="33"/>
      <c r="E354" s="44" t="e">
        <f>VLOOKUP(A354,Lists!$U$1:$V$121,2,FALSE)</f>
        <v>#N/A</v>
      </c>
      <c r="F354" s="34"/>
      <c r="G354" s="35"/>
      <c r="H354" s="35"/>
      <c r="I354" s="48">
        <f t="shared" si="5"/>
        <v>0</v>
      </c>
      <c r="J354" s="36"/>
      <c r="K354" s="36"/>
      <c r="L354" s="39" t="e">
        <f>VLOOKUP('Time Tracking'!$D354,Lists!O:P,2,FALSE)</f>
        <v>#N/A</v>
      </c>
      <c r="M354" s="51" t="e">
        <f>VLOOKUP(C354,Lists!$R$1:$S$15,2,FALSE)</f>
        <v>#N/A</v>
      </c>
      <c r="N354" s="37"/>
    </row>
    <row r="355" spans="1:14" s="24" customFormat="1" x14ac:dyDescent="0.25">
      <c r="A355" s="32"/>
      <c r="B355" s="33"/>
      <c r="C355" s="33"/>
      <c r="D355" s="33"/>
      <c r="E355" s="44" t="e">
        <f>VLOOKUP(A355,Lists!$U$1:$V$121,2,FALSE)</f>
        <v>#N/A</v>
      </c>
      <c r="F355" s="34"/>
      <c r="G355" s="35"/>
      <c r="H355" s="35"/>
      <c r="I355" s="48">
        <f t="shared" si="5"/>
        <v>0</v>
      </c>
      <c r="J355" s="36"/>
      <c r="K355" s="36"/>
      <c r="L355" s="39" t="e">
        <f>VLOOKUP('Time Tracking'!$D355,Lists!O:P,2,FALSE)</f>
        <v>#N/A</v>
      </c>
      <c r="M355" s="51" t="e">
        <f>VLOOKUP(C355,Lists!$R$1:$S$15,2,FALSE)</f>
        <v>#N/A</v>
      </c>
      <c r="N355" s="37"/>
    </row>
    <row r="356" spans="1:14" s="24" customFormat="1" x14ac:dyDescent="0.25">
      <c r="A356" s="32"/>
      <c r="B356" s="33"/>
      <c r="C356" s="33"/>
      <c r="D356" s="33"/>
      <c r="E356" s="44" t="e">
        <f>VLOOKUP(A356,Lists!$U$1:$V$121,2,FALSE)</f>
        <v>#N/A</v>
      </c>
      <c r="F356" s="34"/>
      <c r="G356" s="35"/>
      <c r="H356" s="35"/>
      <c r="I356" s="48">
        <f t="shared" si="5"/>
        <v>0</v>
      </c>
      <c r="J356" s="36"/>
      <c r="K356" s="36"/>
      <c r="L356" s="39" t="e">
        <f>VLOOKUP('Time Tracking'!$D356,Lists!O:P,2,FALSE)</f>
        <v>#N/A</v>
      </c>
      <c r="M356" s="51" t="e">
        <f>VLOOKUP(C356,Lists!$R$1:$S$15,2,FALSE)</f>
        <v>#N/A</v>
      </c>
      <c r="N356" s="37"/>
    </row>
    <row r="357" spans="1:14" s="24" customFormat="1" x14ac:dyDescent="0.25">
      <c r="A357" s="32"/>
      <c r="B357" s="33"/>
      <c r="C357" s="33"/>
      <c r="D357" s="33"/>
      <c r="E357" s="44" t="e">
        <f>VLOOKUP(A357,Lists!$U$1:$V$121,2,FALSE)</f>
        <v>#N/A</v>
      </c>
      <c r="F357" s="34"/>
      <c r="G357" s="35"/>
      <c r="H357" s="35"/>
      <c r="I357" s="48">
        <f t="shared" si="5"/>
        <v>0</v>
      </c>
      <c r="J357" s="36"/>
      <c r="K357" s="36"/>
      <c r="L357" s="39" t="e">
        <f>VLOOKUP('Time Tracking'!$D357,Lists!O:P,2,FALSE)</f>
        <v>#N/A</v>
      </c>
      <c r="M357" s="51" t="e">
        <f>VLOOKUP(C357,Lists!$R$1:$S$15,2,FALSE)</f>
        <v>#N/A</v>
      </c>
      <c r="N357" s="37"/>
    </row>
    <row r="358" spans="1:14" s="24" customFormat="1" x14ac:dyDescent="0.25">
      <c r="A358" s="32"/>
      <c r="B358" s="33"/>
      <c r="C358" s="33"/>
      <c r="D358" s="33"/>
      <c r="E358" s="44" t="e">
        <f>VLOOKUP(A358,Lists!$U$1:$V$121,2,FALSE)</f>
        <v>#N/A</v>
      </c>
      <c r="F358" s="34"/>
      <c r="G358" s="35"/>
      <c r="H358" s="35"/>
      <c r="I358" s="48">
        <f t="shared" si="5"/>
        <v>0</v>
      </c>
      <c r="J358" s="36"/>
      <c r="K358" s="36"/>
      <c r="L358" s="39" t="e">
        <f>VLOOKUP('Time Tracking'!$D358,Lists!O:P,2,FALSE)</f>
        <v>#N/A</v>
      </c>
      <c r="M358" s="51" t="e">
        <f>VLOOKUP(C358,Lists!$R$1:$S$15,2,FALSE)</f>
        <v>#N/A</v>
      </c>
      <c r="N358" s="37"/>
    </row>
    <row r="359" spans="1:14" s="24" customFormat="1" x14ac:dyDescent="0.25">
      <c r="A359" s="32"/>
      <c r="B359" s="33"/>
      <c r="C359" s="33"/>
      <c r="D359" s="33"/>
      <c r="E359" s="44" t="e">
        <f>VLOOKUP(A359,Lists!$U$1:$V$121,2,FALSE)</f>
        <v>#N/A</v>
      </c>
      <c r="F359" s="34"/>
      <c r="G359" s="35"/>
      <c r="H359" s="35"/>
      <c r="I359" s="48">
        <f t="shared" si="5"/>
        <v>0</v>
      </c>
      <c r="J359" s="36"/>
      <c r="K359" s="36"/>
      <c r="L359" s="39" t="e">
        <f>VLOOKUP('Time Tracking'!$D359,Lists!O:P,2,FALSE)</f>
        <v>#N/A</v>
      </c>
      <c r="M359" s="51" t="e">
        <f>VLOOKUP(C359,Lists!$R$1:$S$15,2,FALSE)</f>
        <v>#N/A</v>
      </c>
      <c r="N359" s="37"/>
    </row>
    <row r="360" spans="1:14" s="24" customFormat="1" x14ac:dyDescent="0.25">
      <c r="A360" s="32"/>
      <c r="B360" s="33"/>
      <c r="C360" s="33"/>
      <c r="D360" s="33"/>
      <c r="E360" s="44" t="e">
        <f>VLOOKUP(A360,Lists!$U$1:$V$121,2,FALSE)</f>
        <v>#N/A</v>
      </c>
      <c r="F360" s="34"/>
      <c r="G360" s="35"/>
      <c r="H360" s="35"/>
      <c r="I360" s="48">
        <f t="shared" si="5"/>
        <v>0</v>
      </c>
      <c r="J360" s="36"/>
      <c r="K360" s="36"/>
      <c r="L360" s="39" t="e">
        <f>VLOOKUP('Time Tracking'!$D360,Lists!O:P,2,FALSE)</f>
        <v>#N/A</v>
      </c>
      <c r="M360" s="51" t="e">
        <f>VLOOKUP(C360,Lists!$R$1:$S$15,2,FALSE)</f>
        <v>#N/A</v>
      </c>
      <c r="N360" s="37"/>
    </row>
    <row r="361" spans="1:14" s="24" customFormat="1" x14ac:dyDescent="0.25">
      <c r="A361" s="32"/>
      <c r="B361" s="33"/>
      <c r="C361" s="33"/>
      <c r="D361" s="33"/>
      <c r="E361" s="44" t="e">
        <f>VLOOKUP(A361,Lists!$U$1:$V$121,2,FALSE)</f>
        <v>#N/A</v>
      </c>
      <c r="F361" s="34"/>
      <c r="G361" s="35"/>
      <c r="H361" s="35"/>
      <c r="I361" s="48">
        <f t="shared" si="5"/>
        <v>0</v>
      </c>
      <c r="J361" s="36"/>
      <c r="K361" s="36"/>
      <c r="L361" s="39" t="e">
        <f>VLOOKUP('Time Tracking'!$D361,Lists!O:P,2,FALSE)</f>
        <v>#N/A</v>
      </c>
      <c r="M361" s="51" t="e">
        <f>VLOOKUP(C361,Lists!$R$1:$S$15,2,FALSE)</f>
        <v>#N/A</v>
      </c>
      <c r="N361" s="37"/>
    </row>
    <row r="362" spans="1:14" s="24" customFormat="1" x14ac:dyDescent="0.25">
      <c r="A362" s="32"/>
      <c r="B362" s="33"/>
      <c r="C362" s="33"/>
      <c r="D362" s="33"/>
      <c r="E362" s="44" t="e">
        <f>VLOOKUP(A362,Lists!$U$1:$V$121,2,FALSE)</f>
        <v>#N/A</v>
      </c>
      <c r="F362" s="34"/>
      <c r="G362" s="35"/>
      <c r="H362" s="35"/>
      <c r="I362" s="48">
        <f t="shared" si="5"/>
        <v>0</v>
      </c>
      <c r="J362" s="36"/>
      <c r="K362" s="36"/>
      <c r="L362" s="39" t="e">
        <f>VLOOKUP('Time Tracking'!$D362,Lists!O:P,2,FALSE)</f>
        <v>#N/A</v>
      </c>
      <c r="M362" s="51" t="e">
        <f>VLOOKUP(C362,Lists!$R$1:$S$15,2,FALSE)</f>
        <v>#N/A</v>
      </c>
      <c r="N362" s="37"/>
    </row>
    <row r="363" spans="1:14" s="24" customFormat="1" x14ac:dyDescent="0.25">
      <c r="A363" s="32"/>
      <c r="B363" s="33"/>
      <c r="C363" s="33"/>
      <c r="D363" s="33"/>
      <c r="E363" s="44" t="e">
        <f>VLOOKUP(A363,Lists!$U$1:$V$121,2,FALSE)</f>
        <v>#N/A</v>
      </c>
      <c r="F363" s="34"/>
      <c r="G363" s="35"/>
      <c r="H363" s="35"/>
      <c r="I363" s="48">
        <f t="shared" si="5"/>
        <v>0</v>
      </c>
      <c r="J363" s="36"/>
      <c r="K363" s="36"/>
      <c r="L363" s="39" t="e">
        <f>VLOOKUP('Time Tracking'!$D363,Lists!O:P,2,FALSE)</f>
        <v>#N/A</v>
      </c>
      <c r="M363" s="51" t="e">
        <f>VLOOKUP(C363,Lists!$R$1:$S$15,2,FALSE)</f>
        <v>#N/A</v>
      </c>
      <c r="N363" s="37"/>
    </row>
    <row r="364" spans="1:14" s="24" customFormat="1" x14ac:dyDescent="0.25">
      <c r="A364" s="32"/>
      <c r="B364" s="33"/>
      <c r="C364" s="33"/>
      <c r="D364" s="33"/>
      <c r="E364" s="44" t="e">
        <f>VLOOKUP(A364,Lists!$U$1:$V$121,2,FALSE)</f>
        <v>#N/A</v>
      </c>
      <c r="F364" s="34"/>
      <c r="G364" s="35"/>
      <c r="H364" s="35"/>
      <c r="I364" s="48">
        <f t="shared" si="5"/>
        <v>0</v>
      </c>
      <c r="J364" s="36"/>
      <c r="K364" s="36"/>
      <c r="L364" s="39" t="e">
        <f>VLOOKUP('Time Tracking'!$D364,Lists!O:P,2,FALSE)</f>
        <v>#N/A</v>
      </c>
      <c r="M364" s="51" t="e">
        <f>VLOOKUP(C364,Lists!$R$1:$S$15,2,FALSE)</f>
        <v>#N/A</v>
      </c>
      <c r="N364" s="37"/>
    </row>
    <row r="365" spans="1:14" s="24" customFormat="1" x14ac:dyDescent="0.25">
      <c r="A365" s="32"/>
      <c r="B365" s="33"/>
      <c r="C365" s="33"/>
      <c r="D365" s="33"/>
      <c r="E365" s="44" t="e">
        <f>VLOOKUP(A365,Lists!$U$1:$V$121,2,FALSE)</f>
        <v>#N/A</v>
      </c>
      <c r="F365" s="34"/>
      <c r="G365" s="35"/>
      <c r="H365" s="35"/>
      <c r="I365" s="48">
        <f t="shared" si="5"/>
        <v>0</v>
      </c>
      <c r="J365" s="36"/>
      <c r="K365" s="36"/>
      <c r="L365" s="39" t="e">
        <f>VLOOKUP('Time Tracking'!$D365,Lists!O:P,2,FALSE)</f>
        <v>#N/A</v>
      </c>
      <c r="M365" s="51" t="e">
        <f>VLOOKUP(C365,Lists!$R$1:$S$15,2,FALSE)</f>
        <v>#N/A</v>
      </c>
      <c r="N365" s="37"/>
    </row>
    <row r="366" spans="1:14" s="24" customFormat="1" x14ac:dyDescent="0.25">
      <c r="A366" s="32"/>
      <c r="B366" s="33"/>
      <c r="C366" s="33"/>
      <c r="D366" s="33"/>
      <c r="E366" s="44" t="e">
        <f>VLOOKUP(A366,Lists!$U$1:$V$121,2,FALSE)</f>
        <v>#N/A</v>
      </c>
      <c r="F366" s="34"/>
      <c r="G366" s="35"/>
      <c r="H366" s="35"/>
      <c r="I366" s="48">
        <f t="shared" si="5"/>
        <v>0</v>
      </c>
      <c r="J366" s="36"/>
      <c r="K366" s="36"/>
      <c r="L366" s="39" t="e">
        <f>VLOOKUP('Time Tracking'!$D366,Lists!O:P,2,FALSE)</f>
        <v>#N/A</v>
      </c>
      <c r="M366" s="51" t="e">
        <f>VLOOKUP(C366,Lists!$R$1:$S$15,2,FALSE)</f>
        <v>#N/A</v>
      </c>
      <c r="N366" s="37"/>
    </row>
    <row r="367" spans="1:14" s="24" customFormat="1" x14ac:dyDescent="0.25">
      <c r="A367" s="32"/>
      <c r="B367" s="33"/>
      <c r="C367" s="33"/>
      <c r="D367" s="33"/>
      <c r="E367" s="44" t="e">
        <f>VLOOKUP(A367,Lists!$U$1:$V$121,2,FALSE)</f>
        <v>#N/A</v>
      </c>
      <c r="F367" s="34"/>
      <c r="G367" s="35"/>
      <c r="H367" s="35"/>
      <c r="I367" s="48">
        <f t="shared" si="5"/>
        <v>0</v>
      </c>
      <c r="J367" s="36"/>
      <c r="K367" s="36"/>
      <c r="L367" s="39" t="e">
        <f>VLOOKUP('Time Tracking'!$D367,Lists!O:P,2,FALSE)</f>
        <v>#N/A</v>
      </c>
      <c r="M367" s="51" t="e">
        <f>VLOOKUP(C367,Lists!$R$1:$S$15,2,FALSE)</f>
        <v>#N/A</v>
      </c>
      <c r="N367" s="37"/>
    </row>
    <row r="368" spans="1:14" s="24" customFormat="1" x14ac:dyDescent="0.25">
      <c r="A368" s="32"/>
      <c r="B368" s="33"/>
      <c r="C368" s="33"/>
      <c r="D368" s="33"/>
      <c r="E368" s="44" t="e">
        <f>VLOOKUP(A368,Lists!$U$1:$V$121,2,FALSE)</f>
        <v>#N/A</v>
      </c>
      <c r="F368" s="34"/>
      <c r="G368" s="35"/>
      <c r="H368" s="35"/>
      <c r="I368" s="48">
        <f t="shared" si="5"/>
        <v>0</v>
      </c>
      <c r="J368" s="36"/>
      <c r="K368" s="36"/>
      <c r="L368" s="39" t="e">
        <f>VLOOKUP('Time Tracking'!$D368,Lists!O:P,2,FALSE)</f>
        <v>#N/A</v>
      </c>
      <c r="M368" s="51" t="e">
        <f>VLOOKUP(C368,Lists!$R$1:$S$15,2,FALSE)</f>
        <v>#N/A</v>
      </c>
      <c r="N368" s="37"/>
    </row>
    <row r="369" spans="1:14" s="24" customFormat="1" x14ac:dyDescent="0.25">
      <c r="A369" s="32"/>
      <c r="B369" s="33"/>
      <c r="C369" s="33"/>
      <c r="D369" s="33"/>
      <c r="E369" s="44" t="e">
        <f>VLOOKUP(A369,Lists!$U$1:$V$121,2,FALSE)</f>
        <v>#N/A</v>
      </c>
      <c r="F369" s="34"/>
      <c r="G369" s="35"/>
      <c r="H369" s="35"/>
      <c r="I369" s="48">
        <f t="shared" si="5"/>
        <v>0</v>
      </c>
      <c r="J369" s="36"/>
      <c r="K369" s="36"/>
      <c r="L369" s="39" t="e">
        <f>VLOOKUP('Time Tracking'!$D369,Lists!O:P,2,FALSE)</f>
        <v>#N/A</v>
      </c>
      <c r="M369" s="51" t="e">
        <f>VLOOKUP(C369,Lists!$R$1:$S$15,2,FALSE)</f>
        <v>#N/A</v>
      </c>
      <c r="N369" s="37"/>
    </row>
    <row r="370" spans="1:14" s="24" customFormat="1" x14ac:dyDescent="0.25">
      <c r="A370" s="32"/>
      <c r="B370" s="33"/>
      <c r="C370" s="33"/>
      <c r="D370" s="33"/>
      <c r="E370" s="44" t="e">
        <f>VLOOKUP(A370,Lists!$U$1:$V$121,2,FALSE)</f>
        <v>#N/A</v>
      </c>
      <c r="F370" s="34"/>
      <c r="G370" s="35"/>
      <c r="H370" s="35"/>
      <c r="I370" s="48">
        <f t="shared" si="5"/>
        <v>0</v>
      </c>
      <c r="J370" s="36"/>
      <c r="K370" s="36"/>
      <c r="L370" s="39" t="e">
        <f>VLOOKUP('Time Tracking'!$D370,Lists!O:P,2,FALSE)</f>
        <v>#N/A</v>
      </c>
      <c r="M370" s="51" t="e">
        <f>VLOOKUP(C370,Lists!$R$1:$S$15,2,FALSE)</f>
        <v>#N/A</v>
      </c>
      <c r="N370" s="37"/>
    </row>
    <row r="371" spans="1:14" s="24" customFormat="1" x14ac:dyDescent="0.25">
      <c r="A371" s="32"/>
      <c r="B371" s="33"/>
      <c r="C371" s="33"/>
      <c r="D371" s="33"/>
      <c r="E371" s="44" t="e">
        <f>VLOOKUP(A371,Lists!$U$1:$V$121,2,FALSE)</f>
        <v>#N/A</v>
      </c>
      <c r="F371" s="34"/>
      <c r="G371" s="35"/>
      <c r="H371" s="35"/>
      <c r="I371" s="48">
        <f t="shared" si="5"/>
        <v>0</v>
      </c>
      <c r="J371" s="36"/>
      <c r="K371" s="36"/>
      <c r="L371" s="39" t="e">
        <f>VLOOKUP('Time Tracking'!$D371,Lists!O:P,2,FALSE)</f>
        <v>#N/A</v>
      </c>
      <c r="M371" s="51" t="e">
        <f>VLOOKUP(C371,Lists!$R$1:$S$15,2,FALSE)</f>
        <v>#N/A</v>
      </c>
      <c r="N371" s="37"/>
    </row>
    <row r="372" spans="1:14" s="24" customFormat="1" x14ac:dyDescent="0.25">
      <c r="A372" s="32"/>
      <c r="B372" s="33"/>
      <c r="C372" s="33"/>
      <c r="D372" s="33"/>
      <c r="E372" s="44" t="e">
        <f>VLOOKUP(A372,Lists!$U$1:$V$121,2,FALSE)</f>
        <v>#N/A</v>
      </c>
      <c r="F372" s="34"/>
      <c r="G372" s="35"/>
      <c r="H372" s="35"/>
      <c r="I372" s="48">
        <f t="shared" si="5"/>
        <v>0</v>
      </c>
      <c r="J372" s="36"/>
      <c r="K372" s="36"/>
      <c r="L372" s="39" t="e">
        <f>VLOOKUP('Time Tracking'!$D372,Lists!O:P,2,FALSE)</f>
        <v>#N/A</v>
      </c>
      <c r="M372" s="51" t="e">
        <f>VLOOKUP(C372,Lists!$R$1:$S$15,2,FALSE)</f>
        <v>#N/A</v>
      </c>
      <c r="N372" s="37"/>
    </row>
    <row r="373" spans="1:14" s="24" customFormat="1" x14ac:dyDescent="0.25">
      <c r="A373" s="32"/>
      <c r="B373" s="33"/>
      <c r="C373" s="33"/>
      <c r="D373" s="33"/>
      <c r="E373" s="44" t="e">
        <f>VLOOKUP(A373,Lists!$U$1:$V$121,2,FALSE)</f>
        <v>#N/A</v>
      </c>
      <c r="F373" s="34"/>
      <c r="G373" s="35"/>
      <c r="H373" s="35"/>
      <c r="I373" s="48">
        <f t="shared" si="5"/>
        <v>0</v>
      </c>
      <c r="J373" s="36"/>
      <c r="K373" s="36"/>
      <c r="L373" s="39" t="e">
        <f>VLOOKUP('Time Tracking'!$D373,Lists!O:P,2,FALSE)</f>
        <v>#N/A</v>
      </c>
      <c r="M373" s="51" t="e">
        <f>VLOOKUP(C373,Lists!$R$1:$S$15,2,FALSE)</f>
        <v>#N/A</v>
      </c>
      <c r="N373" s="37"/>
    </row>
    <row r="374" spans="1:14" s="24" customFormat="1" x14ac:dyDescent="0.25">
      <c r="A374" s="32"/>
      <c r="B374" s="33"/>
      <c r="C374" s="33"/>
      <c r="D374" s="33"/>
      <c r="E374" s="44" t="e">
        <f>VLOOKUP(A374,Lists!$U$1:$V$121,2,FALSE)</f>
        <v>#N/A</v>
      </c>
      <c r="F374" s="34"/>
      <c r="G374" s="35"/>
      <c r="H374" s="35"/>
      <c r="I374" s="48">
        <f t="shared" si="5"/>
        <v>0</v>
      </c>
      <c r="J374" s="36"/>
      <c r="K374" s="36"/>
      <c r="L374" s="39" t="e">
        <f>VLOOKUP('Time Tracking'!$D374,Lists!O:P,2,FALSE)</f>
        <v>#N/A</v>
      </c>
      <c r="M374" s="51" t="e">
        <f>VLOOKUP(C374,Lists!$R$1:$S$15,2,FALSE)</f>
        <v>#N/A</v>
      </c>
      <c r="N374" s="37"/>
    </row>
    <row r="375" spans="1:14" s="24" customFormat="1" x14ac:dyDescent="0.25">
      <c r="A375" s="32"/>
      <c r="B375" s="33"/>
      <c r="C375" s="33"/>
      <c r="D375" s="33"/>
      <c r="E375" s="44" t="e">
        <f>VLOOKUP(A375,Lists!$U$1:$V$121,2,FALSE)</f>
        <v>#N/A</v>
      </c>
      <c r="F375" s="34"/>
      <c r="G375" s="35"/>
      <c r="H375" s="35"/>
      <c r="I375" s="48">
        <f t="shared" si="5"/>
        <v>0</v>
      </c>
      <c r="J375" s="36"/>
      <c r="K375" s="36"/>
      <c r="L375" s="39" t="e">
        <f>VLOOKUP('Time Tracking'!$D375,Lists!O:P,2,FALSE)</f>
        <v>#N/A</v>
      </c>
      <c r="M375" s="51" t="e">
        <f>VLOOKUP(C375,Lists!$R$1:$S$15,2,FALSE)</f>
        <v>#N/A</v>
      </c>
      <c r="N375" s="37"/>
    </row>
    <row r="376" spans="1:14" s="24" customFormat="1" x14ac:dyDescent="0.25">
      <c r="A376" s="32"/>
      <c r="B376" s="33"/>
      <c r="C376" s="33"/>
      <c r="D376" s="33"/>
      <c r="E376" s="44" t="e">
        <f>VLOOKUP(A376,Lists!$U$1:$V$121,2,FALSE)</f>
        <v>#N/A</v>
      </c>
      <c r="F376" s="34"/>
      <c r="G376" s="35"/>
      <c r="H376" s="35"/>
      <c r="I376" s="48">
        <f t="shared" si="5"/>
        <v>0</v>
      </c>
      <c r="J376" s="36"/>
      <c r="K376" s="36"/>
      <c r="L376" s="39" t="e">
        <f>VLOOKUP('Time Tracking'!$D376,Lists!O:P,2,FALSE)</f>
        <v>#N/A</v>
      </c>
      <c r="M376" s="51" t="e">
        <f>VLOOKUP(C376,Lists!$R$1:$S$15,2,FALSE)</f>
        <v>#N/A</v>
      </c>
      <c r="N376" s="37"/>
    </row>
    <row r="377" spans="1:14" s="24" customFormat="1" x14ac:dyDescent="0.25">
      <c r="A377" s="32"/>
      <c r="B377" s="33"/>
      <c r="C377" s="33"/>
      <c r="D377" s="33"/>
      <c r="E377" s="44" t="e">
        <f>VLOOKUP(A377,Lists!$U$1:$V$121,2,FALSE)</f>
        <v>#N/A</v>
      </c>
      <c r="F377" s="34"/>
      <c r="G377" s="35"/>
      <c r="H377" s="35"/>
      <c r="I377" s="48">
        <f t="shared" si="5"/>
        <v>0</v>
      </c>
      <c r="J377" s="36"/>
      <c r="K377" s="36"/>
      <c r="L377" s="39" t="e">
        <f>VLOOKUP('Time Tracking'!$D377,Lists!O:P,2,FALSE)</f>
        <v>#N/A</v>
      </c>
      <c r="M377" s="51" t="e">
        <f>VLOOKUP(C377,Lists!$R$1:$S$15,2,FALSE)</f>
        <v>#N/A</v>
      </c>
      <c r="N377" s="37"/>
    </row>
    <row r="378" spans="1:14" s="24" customFormat="1" x14ac:dyDescent="0.25">
      <c r="A378" s="32"/>
      <c r="B378" s="33"/>
      <c r="C378" s="33"/>
      <c r="D378" s="33"/>
      <c r="E378" s="44" t="e">
        <f>VLOOKUP(A378,Lists!$U$1:$V$121,2,FALSE)</f>
        <v>#N/A</v>
      </c>
      <c r="F378" s="34"/>
      <c r="G378" s="35"/>
      <c r="H378" s="35"/>
      <c r="I378" s="48">
        <f t="shared" si="5"/>
        <v>0</v>
      </c>
      <c r="J378" s="36"/>
      <c r="K378" s="36"/>
      <c r="L378" s="39" t="e">
        <f>VLOOKUP('Time Tracking'!$D378,Lists!O:P,2,FALSE)</f>
        <v>#N/A</v>
      </c>
      <c r="M378" s="51" t="e">
        <f>VLOOKUP(C378,Lists!$R$1:$S$15,2,FALSE)</f>
        <v>#N/A</v>
      </c>
      <c r="N378" s="37"/>
    </row>
    <row r="379" spans="1:14" s="24" customFormat="1" x14ac:dyDescent="0.25">
      <c r="A379" s="32"/>
      <c r="B379" s="33"/>
      <c r="C379" s="33"/>
      <c r="D379" s="33"/>
      <c r="E379" s="44" t="e">
        <f>VLOOKUP(A379,Lists!$U$1:$V$121,2,FALSE)</f>
        <v>#N/A</v>
      </c>
      <c r="F379" s="34"/>
      <c r="G379" s="35"/>
      <c r="H379" s="35"/>
      <c r="I379" s="48">
        <f t="shared" si="5"/>
        <v>0</v>
      </c>
      <c r="J379" s="36"/>
      <c r="K379" s="36"/>
      <c r="L379" s="39" t="e">
        <f>VLOOKUP('Time Tracking'!$D379,Lists!O:P,2,FALSE)</f>
        <v>#N/A</v>
      </c>
      <c r="M379" s="51" t="e">
        <f>VLOOKUP(C379,Lists!$R$1:$S$15,2,FALSE)</f>
        <v>#N/A</v>
      </c>
      <c r="N379" s="37"/>
    </row>
    <row r="380" spans="1:14" s="24" customFormat="1" x14ac:dyDescent="0.25">
      <c r="A380" s="32"/>
      <c r="B380" s="33"/>
      <c r="C380" s="33"/>
      <c r="D380" s="33"/>
      <c r="E380" s="44" t="e">
        <f>VLOOKUP(A380,Lists!$U$1:$V$121,2,FALSE)</f>
        <v>#N/A</v>
      </c>
      <c r="F380" s="34"/>
      <c r="G380" s="35"/>
      <c r="H380" s="35"/>
      <c r="I380" s="48">
        <f t="shared" si="5"/>
        <v>0</v>
      </c>
      <c r="J380" s="36"/>
      <c r="K380" s="36"/>
      <c r="L380" s="39" t="e">
        <f>VLOOKUP('Time Tracking'!$D380,Lists!O:P,2,FALSE)</f>
        <v>#N/A</v>
      </c>
      <c r="M380" s="51" t="e">
        <f>VLOOKUP(C380,Lists!$R$1:$S$15,2,FALSE)</f>
        <v>#N/A</v>
      </c>
      <c r="N380" s="37"/>
    </row>
    <row r="381" spans="1:14" s="24" customFormat="1" x14ac:dyDescent="0.25">
      <c r="A381" s="32"/>
      <c r="B381" s="33"/>
      <c r="C381" s="33"/>
      <c r="D381" s="33"/>
      <c r="E381" s="44" t="e">
        <f>VLOOKUP(A381,Lists!$U$1:$V$121,2,FALSE)</f>
        <v>#N/A</v>
      </c>
      <c r="F381" s="34"/>
      <c r="G381" s="35"/>
      <c r="H381" s="35"/>
      <c r="I381" s="48">
        <f t="shared" si="5"/>
        <v>0</v>
      </c>
      <c r="J381" s="36"/>
      <c r="K381" s="36"/>
      <c r="L381" s="39" t="e">
        <f>VLOOKUP('Time Tracking'!$D381,Lists!O:P,2,FALSE)</f>
        <v>#N/A</v>
      </c>
      <c r="M381" s="51" t="e">
        <f>VLOOKUP(C381,Lists!$R$1:$S$15,2,FALSE)</f>
        <v>#N/A</v>
      </c>
      <c r="N381" s="37"/>
    </row>
    <row r="382" spans="1:14" s="24" customFormat="1" x14ac:dyDescent="0.25">
      <c r="A382" s="32"/>
      <c r="B382" s="33"/>
      <c r="C382" s="33"/>
      <c r="D382" s="33"/>
      <c r="E382" s="44" t="e">
        <f>VLOOKUP(A382,Lists!$U$1:$V$121,2,FALSE)</f>
        <v>#N/A</v>
      </c>
      <c r="F382" s="34"/>
      <c r="G382" s="35"/>
      <c r="H382" s="35"/>
      <c r="I382" s="48">
        <f t="shared" si="5"/>
        <v>0</v>
      </c>
      <c r="J382" s="36"/>
      <c r="K382" s="36"/>
      <c r="L382" s="39" t="e">
        <f>VLOOKUP('Time Tracking'!$D382,Lists!O:P,2,FALSE)</f>
        <v>#N/A</v>
      </c>
      <c r="M382" s="51" t="e">
        <f>VLOOKUP(C382,Lists!$R$1:$S$15,2,FALSE)</f>
        <v>#N/A</v>
      </c>
      <c r="N382" s="37"/>
    </row>
    <row r="383" spans="1:14" s="24" customFormat="1" x14ac:dyDescent="0.25">
      <c r="A383" s="32"/>
      <c r="B383" s="33"/>
      <c r="C383" s="33"/>
      <c r="D383" s="33"/>
      <c r="E383" s="44" t="e">
        <f>VLOOKUP(A383,Lists!$U$1:$V$121,2,FALSE)</f>
        <v>#N/A</v>
      </c>
      <c r="F383" s="34"/>
      <c r="G383" s="35"/>
      <c r="H383" s="35"/>
      <c r="I383" s="48">
        <f t="shared" si="5"/>
        <v>0</v>
      </c>
      <c r="J383" s="36"/>
      <c r="K383" s="36"/>
      <c r="L383" s="39" t="e">
        <f>VLOOKUP('Time Tracking'!$D383,Lists!O:P,2,FALSE)</f>
        <v>#N/A</v>
      </c>
      <c r="M383" s="51" t="e">
        <f>VLOOKUP(C383,Lists!$R$1:$S$15,2,FALSE)</f>
        <v>#N/A</v>
      </c>
      <c r="N383" s="37"/>
    </row>
    <row r="384" spans="1:14" s="24" customFormat="1" x14ac:dyDescent="0.25">
      <c r="A384" s="32"/>
      <c r="B384" s="33"/>
      <c r="C384" s="33"/>
      <c r="D384" s="33"/>
      <c r="E384" s="44" t="e">
        <f>VLOOKUP(A384,Lists!$U$1:$V$121,2,FALSE)</f>
        <v>#N/A</v>
      </c>
      <c r="F384" s="34"/>
      <c r="G384" s="35"/>
      <c r="H384" s="35"/>
      <c r="I384" s="48">
        <f t="shared" si="5"/>
        <v>0</v>
      </c>
      <c r="J384" s="36"/>
      <c r="K384" s="36"/>
      <c r="L384" s="39" t="e">
        <f>VLOOKUP('Time Tracking'!$D384,Lists!O:P,2,FALSE)</f>
        <v>#N/A</v>
      </c>
      <c r="M384" s="51" t="e">
        <f>VLOOKUP(C384,Lists!$R$1:$S$15,2,FALSE)</f>
        <v>#N/A</v>
      </c>
      <c r="N384" s="37"/>
    </row>
    <row r="385" spans="1:14" s="24" customFormat="1" x14ac:dyDescent="0.25">
      <c r="A385" s="32"/>
      <c r="B385" s="33"/>
      <c r="C385" s="33"/>
      <c r="D385" s="33"/>
      <c r="E385" s="44" t="e">
        <f>VLOOKUP(A385,Lists!$U$1:$V$121,2,FALSE)</f>
        <v>#N/A</v>
      </c>
      <c r="F385" s="34"/>
      <c r="G385" s="35"/>
      <c r="H385" s="35"/>
      <c r="I385" s="48">
        <f t="shared" si="5"/>
        <v>0</v>
      </c>
      <c r="J385" s="36"/>
      <c r="K385" s="36"/>
      <c r="L385" s="39" t="e">
        <f>VLOOKUP('Time Tracking'!$D385,Lists!O:P,2,FALSE)</f>
        <v>#N/A</v>
      </c>
      <c r="M385" s="51" t="e">
        <f>VLOOKUP(C385,Lists!$R$1:$S$15,2,FALSE)</f>
        <v>#N/A</v>
      </c>
      <c r="N385" s="37"/>
    </row>
    <row r="386" spans="1:14" s="24" customFormat="1" x14ac:dyDescent="0.25">
      <c r="A386" s="32"/>
      <c r="B386" s="33"/>
      <c r="C386" s="33"/>
      <c r="D386" s="33"/>
      <c r="E386" s="44" t="e">
        <f>VLOOKUP(A386,Lists!$U$1:$V$121,2,FALSE)</f>
        <v>#N/A</v>
      </c>
      <c r="F386" s="34"/>
      <c r="G386" s="35"/>
      <c r="H386" s="35"/>
      <c r="I386" s="48">
        <f t="shared" ref="I386:I449" si="6">(IFERROR(TEXT(H386-G386,"h:mm"),"0:00"))*24</f>
        <v>0</v>
      </c>
      <c r="J386" s="36"/>
      <c r="K386" s="36"/>
      <c r="L386" s="39" t="e">
        <f>VLOOKUP('Time Tracking'!$D386,Lists!O:P,2,FALSE)</f>
        <v>#N/A</v>
      </c>
      <c r="M386" s="51" t="e">
        <f>VLOOKUP(C386,Lists!$R$1:$S$15,2,FALSE)</f>
        <v>#N/A</v>
      </c>
      <c r="N386" s="37"/>
    </row>
    <row r="387" spans="1:14" s="24" customFormat="1" x14ac:dyDescent="0.25">
      <c r="A387" s="32"/>
      <c r="B387" s="33"/>
      <c r="C387" s="33"/>
      <c r="D387" s="33"/>
      <c r="E387" s="44" t="e">
        <f>VLOOKUP(A387,Lists!$U$1:$V$121,2,FALSE)</f>
        <v>#N/A</v>
      </c>
      <c r="F387" s="34"/>
      <c r="G387" s="35"/>
      <c r="H387" s="35"/>
      <c r="I387" s="48">
        <f t="shared" si="6"/>
        <v>0</v>
      </c>
      <c r="J387" s="36"/>
      <c r="K387" s="36"/>
      <c r="L387" s="39" t="e">
        <f>VLOOKUP('Time Tracking'!$D387,Lists!O:P,2,FALSE)</f>
        <v>#N/A</v>
      </c>
      <c r="M387" s="51" t="e">
        <f>VLOOKUP(C387,Lists!$R$1:$S$15,2,FALSE)</f>
        <v>#N/A</v>
      </c>
      <c r="N387" s="37"/>
    </row>
    <row r="388" spans="1:14" s="24" customFormat="1" x14ac:dyDescent="0.25">
      <c r="A388" s="32"/>
      <c r="B388" s="33"/>
      <c r="C388" s="33"/>
      <c r="D388" s="33"/>
      <c r="E388" s="44" t="e">
        <f>VLOOKUP(A388,Lists!$U$1:$V$121,2,FALSE)</f>
        <v>#N/A</v>
      </c>
      <c r="F388" s="34"/>
      <c r="G388" s="35"/>
      <c r="H388" s="35"/>
      <c r="I388" s="48">
        <f t="shared" si="6"/>
        <v>0</v>
      </c>
      <c r="J388" s="36"/>
      <c r="K388" s="36"/>
      <c r="L388" s="39" t="e">
        <f>VLOOKUP('Time Tracking'!$D388,Lists!O:P,2,FALSE)</f>
        <v>#N/A</v>
      </c>
      <c r="M388" s="51" t="e">
        <f>VLOOKUP(C388,Lists!$R$1:$S$15,2,FALSE)</f>
        <v>#N/A</v>
      </c>
      <c r="N388" s="37"/>
    </row>
    <row r="389" spans="1:14" s="24" customFormat="1" x14ac:dyDescent="0.25">
      <c r="A389" s="32"/>
      <c r="B389" s="33"/>
      <c r="C389" s="33"/>
      <c r="D389" s="33"/>
      <c r="E389" s="44" t="e">
        <f>VLOOKUP(A389,Lists!$U$1:$V$121,2,FALSE)</f>
        <v>#N/A</v>
      </c>
      <c r="F389" s="34"/>
      <c r="G389" s="35"/>
      <c r="H389" s="35"/>
      <c r="I389" s="48">
        <f t="shared" si="6"/>
        <v>0</v>
      </c>
      <c r="J389" s="36"/>
      <c r="K389" s="36"/>
      <c r="L389" s="39" t="e">
        <f>VLOOKUP('Time Tracking'!$D389,Lists!O:P,2,FALSE)</f>
        <v>#N/A</v>
      </c>
      <c r="M389" s="51" t="e">
        <f>VLOOKUP(C389,Lists!$R$1:$S$15,2,FALSE)</f>
        <v>#N/A</v>
      </c>
      <c r="N389" s="37"/>
    </row>
    <row r="390" spans="1:14" s="24" customFormat="1" x14ac:dyDescent="0.25">
      <c r="A390" s="32"/>
      <c r="B390" s="33"/>
      <c r="C390" s="33"/>
      <c r="D390" s="33"/>
      <c r="E390" s="44" t="e">
        <f>VLOOKUP(A390,Lists!$U$1:$V$121,2,FALSE)</f>
        <v>#N/A</v>
      </c>
      <c r="F390" s="34"/>
      <c r="G390" s="35"/>
      <c r="H390" s="35"/>
      <c r="I390" s="48">
        <f t="shared" si="6"/>
        <v>0</v>
      </c>
      <c r="J390" s="36"/>
      <c r="K390" s="36"/>
      <c r="L390" s="39" t="e">
        <f>VLOOKUP('Time Tracking'!$D390,Lists!O:P,2,FALSE)</f>
        <v>#N/A</v>
      </c>
      <c r="M390" s="51" t="e">
        <f>VLOOKUP(C390,Lists!$R$1:$S$15,2,FALSE)</f>
        <v>#N/A</v>
      </c>
      <c r="N390" s="37"/>
    </row>
    <row r="391" spans="1:14" s="24" customFormat="1" x14ac:dyDescent="0.25">
      <c r="A391" s="32"/>
      <c r="B391" s="33"/>
      <c r="C391" s="33"/>
      <c r="D391" s="33"/>
      <c r="E391" s="44" t="e">
        <f>VLOOKUP(A391,Lists!$U$1:$V$121,2,FALSE)</f>
        <v>#N/A</v>
      </c>
      <c r="F391" s="34"/>
      <c r="G391" s="35"/>
      <c r="H391" s="35"/>
      <c r="I391" s="48">
        <f t="shared" si="6"/>
        <v>0</v>
      </c>
      <c r="J391" s="36"/>
      <c r="K391" s="36"/>
      <c r="L391" s="39" t="e">
        <f>VLOOKUP('Time Tracking'!$D391,Lists!O:P,2,FALSE)</f>
        <v>#N/A</v>
      </c>
      <c r="M391" s="51" t="e">
        <f>VLOOKUP(C391,Lists!$R$1:$S$15,2,FALSE)</f>
        <v>#N/A</v>
      </c>
      <c r="N391" s="37"/>
    </row>
    <row r="392" spans="1:14" s="24" customFormat="1" x14ac:dyDescent="0.25">
      <c r="A392" s="32"/>
      <c r="B392" s="33"/>
      <c r="C392" s="33"/>
      <c r="D392" s="33"/>
      <c r="E392" s="44" t="e">
        <f>VLOOKUP(A392,Lists!$U$1:$V$121,2,FALSE)</f>
        <v>#N/A</v>
      </c>
      <c r="F392" s="34"/>
      <c r="G392" s="35"/>
      <c r="H392" s="35"/>
      <c r="I392" s="48">
        <f t="shared" si="6"/>
        <v>0</v>
      </c>
      <c r="J392" s="36"/>
      <c r="K392" s="36"/>
      <c r="L392" s="39" t="e">
        <f>VLOOKUP('Time Tracking'!$D392,Lists!O:P,2,FALSE)</f>
        <v>#N/A</v>
      </c>
      <c r="M392" s="51" t="e">
        <f>VLOOKUP(C392,Lists!$R$1:$S$15,2,FALSE)</f>
        <v>#N/A</v>
      </c>
      <c r="N392" s="37"/>
    </row>
    <row r="393" spans="1:14" s="24" customFormat="1" x14ac:dyDescent="0.25">
      <c r="A393" s="32"/>
      <c r="B393" s="33"/>
      <c r="C393" s="33"/>
      <c r="D393" s="33"/>
      <c r="E393" s="44" t="e">
        <f>VLOOKUP(A393,Lists!$U$1:$V$121,2,FALSE)</f>
        <v>#N/A</v>
      </c>
      <c r="F393" s="34"/>
      <c r="G393" s="35"/>
      <c r="H393" s="35"/>
      <c r="I393" s="48">
        <f t="shared" si="6"/>
        <v>0</v>
      </c>
      <c r="J393" s="36"/>
      <c r="K393" s="36"/>
      <c r="L393" s="39" t="e">
        <f>VLOOKUP('Time Tracking'!$D393,Lists!O:P,2,FALSE)</f>
        <v>#N/A</v>
      </c>
      <c r="M393" s="51" t="e">
        <f>VLOOKUP(C393,Lists!$R$1:$S$15,2,FALSE)</f>
        <v>#N/A</v>
      </c>
      <c r="N393" s="37"/>
    </row>
    <row r="394" spans="1:14" s="24" customFormat="1" x14ac:dyDescent="0.25">
      <c r="A394" s="32"/>
      <c r="B394" s="33"/>
      <c r="C394" s="33"/>
      <c r="D394" s="33"/>
      <c r="E394" s="44" t="e">
        <f>VLOOKUP(A394,Lists!$U$1:$V$121,2,FALSE)</f>
        <v>#N/A</v>
      </c>
      <c r="F394" s="34"/>
      <c r="G394" s="35"/>
      <c r="H394" s="35"/>
      <c r="I394" s="48">
        <f t="shared" si="6"/>
        <v>0</v>
      </c>
      <c r="J394" s="36"/>
      <c r="K394" s="36"/>
      <c r="L394" s="39" t="e">
        <f>VLOOKUP('Time Tracking'!$D394,Lists!O:P,2,FALSE)</f>
        <v>#N/A</v>
      </c>
      <c r="M394" s="51" t="e">
        <f>VLOOKUP(C394,Lists!$R$1:$S$15,2,FALSE)</f>
        <v>#N/A</v>
      </c>
      <c r="N394" s="37"/>
    </row>
    <row r="395" spans="1:14" s="24" customFormat="1" x14ac:dyDescent="0.25">
      <c r="A395" s="32"/>
      <c r="B395" s="33"/>
      <c r="C395" s="33"/>
      <c r="D395" s="33"/>
      <c r="E395" s="44" t="e">
        <f>VLOOKUP(A395,Lists!$U$1:$V$121,2,FALSE)</f>
        <v>#N/A</v>
      </c>
      <c r="F395" s="34"/>
      <c r="G395" s="35"/>
      <c r="H395" s="35"/>
      <c r="I395" s="48">
        <f t="shared" si="6"/>
        <v>0</v>
      </c>
      <c r="J395" s="36"/>
      <c r="K395" s="36"/>
      <c r="L395" s="39" t="e">
        <f>VLOOKUP('Time Tracking'!$D395,Lists!O:P,2,FALSE)</f>
        <v>#N/A</v>
      </c>
      <c r="M395" s="51" t="e">
        <f>VLOOKUP(C395,Lists!$R$1:$S$15,2,FALSE)</f>
        <v>#N/A</v>
      </c>
      <c r="N395" s="37"/>
    </row>
    <row r="396" spans="1:14" s="24" customFormat="1" x14ac:dyDescent="0.25">
      <c r="A396" s="32"/>
      <c r="B396" s="33"/>
      <c r="C396" s="33"/>
      <c r="D396" s="33"/>
      <c r="E396" s="44" t="e">
        <f>VLOOKUP(A396,Lists!$U$1:$V$121,2,FALSE)</f>
        <v>#N/A</v>
      </c>
      <c r="F396" s="34"/>
      <c r="G396" s="35"/>
      <c r="H396" s="35"/>
      <c r="I396" s="48">
        <f t="shared" si="6"/>
        <v>0</v>
      </c>
      <c r="J396" s="36"/>
      <c r="K396" s="36"/>
      <c r="L396" s="39" t="e">
        <f>VLOOKUP('Time Tracking'!$D396,Lists!O:P,2,FALSE)</f>
        <v>#N/A</v>
      </c>
      <c r="M396" s="51" t="e">
        <f>VLOOKUP(C396,Lists!$R$1:$S$15,2,FALSE)</f>
        <v>#N/A</v>
      </c>
      <c r="N396" s="37"/>
    </row>
    <row r="397" spans="1:14" s="24" customFormat="1" x14ac:dyDescent="0.25">
      <c r="A397" s="32"/>
      <c r="B397" s="33"/>
      <c r="C397" s="33"/>
      <c r="D397" s="33"/>
      <c r="E397" s="44" t="e">
        <f>VLOOKUP(A397,Lists!$U$1:$V$121,2,FALSE)</f>
        <v>#N/A</v>
      </c>
      <c r="F397" s="34"/>
      <c r="G397" s="35"/>
      <c r="H397" s="35"/>
      <c r="I397" s="48">
        <f t="shared" si="6"/>
        <v>0</v>
      </c>
      <c r="J397" s="36"/>
      <c r="K397" s="36"/>
      <c r="L397" s="39" t="e">
        <f>VLOOKUP('Time Tracking'!$D397,Lists!O:P,2,FALSE)</f>
        <v>#N/A</v>
      </c>
      <c r="M397" s="51" t="e">
        <f>VLOOKUP(C397,Lists!$R$1:$S$15,2,FALSE)</f>
        <v>#N/A</v>
      </c>
      <c r="N397" s="37"/>
    </row>
    <row r="398" spans="1:14" s="24" customFormat="1" x14ac:dyDescent="0.25">
      <c r="A398" s="32"/>
      <c r="B398" s="33"/>
      <c r="C398" s="33"/>
      <c r="D398" s="33"/>
      <c r="E398" s="44" t="e">
        <f>VLOOKUP(A398,Lists!$U$1:$V$121,2,FALSE)</f>
        <v>#N/A</v>
      </c>
      <c r="F398" s="34"/>
      <c r="G398" s="35"/>
      <c r="H398" s="35"/>
      <c r="I398" s="48">
        <f t="shared" si="6"/>
        <v>0</v>
      </c>
      <c r="J398" s="36"/>
      <c r="K398" s="36"/>
      <c r="L398" s="39" t="e">
        <f>VLOOKUP('Time Tracking'!$D398,Lists!O:P,2,FALSE)</f>
        <v>#N/A</v>
      </c>
      <c r="M398" s="51" t="e">
        <f>VLOOKUP(C398,Lists!$R$1:$S$15,2,FALSE)</f>
        <v>#N/A</v>
      </c>
      <c r="N398" s="37"/>
    </row>
    <row r="399" spans="1:14" s="24" customFormat="1" x14ac:dyDescent="0.25">
      <c r="A399" s="32"/>
      <c r="B399" s="33"/>
      <c r="C399" s="33"/>
      <c r="D399" s="33"/>
      <c r="E399" s="44" t="e">
        <f>VLOOKUP(A399,Lists!$U$1:$V$121,2,FALSE)</f>
        <v>#N/A</v>
      </c>
      <c r="F399" s="34"/>
      <c r="G399" s="35"/>
      <c r="H399" s="35"/>
      <c r="I399" s="48">
        <f t="shared" si="6"/>
        <v>0</v>
      </c>
      <c r="J399" s="36"/>
      <c r="K399" s="36"/>
      <c r="L399" s="39" t="e">
        <f>VLOOKUP('Time Tracking'!$D399,Lists!O:P,2,FALSE)</f>
        <v>#N/A</v>
      </c>
      <c r="M399" s="51" t="e">
        <f>VLOOKUP(C399,Lists!$R$1:$S$15,2,FALSE)</f>
        <v>#N/A</v>
      </c>
      <c r="N399" s="37"/>
    </row>
    <row r="400" spans="1:14" s="24" customFormat="1" x14ac:dyDescent="0.25">
      <c r="A400" s="32"/>
      <c r="B400" s="33"/>
      <c r="C400" s="33"/>
      <c r="D400" s="33"/>
      <c r="E400" s="44" t="e">
        <f>VLOOKUP(A400,Lists!$U$1:$V$121,2,FALSE)</f>
        <v>#N/A</v>
      </c>
      <c r="F400" s="34"/>
      <c r="G400" s="35"/>
      <c r="H400" s="35"/>
      <c r="I400" s="48">
        <f t="shared" si="6"/>
        <v>0</v>
      </c>
      <c r="J400" s="36"/>
      <c r="K400" s="36"/>
      <c r="L400" s="39" t="e">
        <f>VLOOKUP('Time Tracking'!$D400,Lists!O:P,2,FALSE)</f>
        <v>#N/A</v>
      </c>
      <c r="M400" s="51" t="e">
        <f>VLOOKUP(C400,Lists!$R$1:$S$15,2,FALSE)</f>
        <v>#N/A</v>
      </c>
      <c r="N400" s="37"/>
    </row>
    <row r="401" spans="1:14" s="24" customFormat="1" x14ac:dyDescent="0.25">
      <c r="A401" s="32"/>
      <c r="B401" s="33"/>
      <c r="C401" s="33"/>
      <c r="D401" s="33"/>
      <c r="E401" s="44" t="e">
        <f>VLOOKUP(A401,Lists!$U$1:$V$121,2,FALSE)</f>
        <v>#N/A</v>
      </c>
      <c r="F401" s="34"/>
      <c r="G401" s="35"/>
      <c r="H401" s="35"/>
      <c r="I401" s="48">
        <f t="shared" si="6"/>
        <v>0</v>
      </c>
      <c r="J401" s="36"/>
      <c r="K401" s="36"/>
      <c r="L401" s="39" t="e">
        <f>VLOOKUP('Time Tracking'!$D401,Lists!O:P,2,FALSE)</f>
        <v>#N/A</v>
      </c>
      <c r="M401" s="51" t="e">
        <f>VLOOKUP(C401,Lists!$R$1:$S$15,2,FALSE)</f>
        <v>#N/A</v>
      </c>
      <c r="N401" s="37"/>
    </row>
    <row r="402" spans="1:14" s="24" customFormat="1" x14ac:dyDescent="0.25">
      <c r="A402" s="32"/>
      <c r="B402" s="33"/>
      <c r="C402" s="33"/>
      <c r="D402" s="33"/>
      <c r="E402" s="44" t="e">
        <f>VLOOKUP(A402,Lists!$U$1:$V$121,2,FALSE)</f>
        <v>#N/A</v>
      </c>
      <c r="F402" s="34"/>
      <c r="G402" s="35"/>
      <c r="H402" s="35"/>
      <c r="I402" s="48">
        <f t="shared" si="6"/>
        <v>0</v>
      </c>
      <c r="J402" s="36"/>
      <c r="K402" s="36"/>
      <c r="L402" s="39" t="e">
        <f>VLOOKUP('Time Tracking'!$D402,Lists!O:P,2,FALSE)</f>
        <v>#N/A</v>
      </c>
      <c r="M402" s="51" t="e">
        <f>VLOOKUP(C402,Lists!$R$1:$S$15,2,FALSE)</f>
        <v>#N/A</v>
      </c>
      <c r="N402" s="37"/>
    </row>
    <row r="403" spans="1:14" s="24" customFormat="1" x14ac:dyDescent="0.25">
      <c r="A403" s="32"/>
      <c r="B403" s="33"/>
      <c r="C403" s="33"/>
      <c r="D403" s="33"/>
      <c r="E403" s="44" t="e">
        <f>VLOOKUP(A403,Lists!$U$1:$V$121,2,FALSE)</f>
        <v>#N/A</v>
      </c>
      <c r="F403" s="34"/>
      <c r="G403" s="35"/>
      <c r="H403" s="35"/>
      <c r="I403" s="48">
        <f t="shared" si="6"/>
        <v>0</v>
      </c>
      <c r="J403" s="36"/>
      <c r="K403" s="36"/>
      <c r="L403" s="39" t="e">
        <f>VLOOKUP('Time Tracking'!$D403,Lists!O:P,2,FALSE)</f>
        <v>#N/A</v>
      </c>
      <c r="M403" s="51" t="e">
        <f>VLOOKUP(C403,Lists!$R$1:$S$15,2,FALSE)</f>
        <v>#N/A</v>
      </c>
      <c r="N403" s="37"/>
    </row>
    <row r="404" spans="1:14" s="24" customFormat="1" x14ac:dyDescent="0.25">
      <c r="A404" s="32"/>
      <c r="B404" s="33"/>
      <c r="C404" s="33"/>
      <c r="D404" s="33"/>
      <c r="E404" s="44" t="e">
        <f>VLOOKUP(A404,Lists!$U$1:$V$121,2,FALSE)</f>
        <v>#N/A</v>
      </c>
      <c r="F404" s="34"/>
      <c r="G404" s="35"/>
      <c r="H404" s="35"/>
      <c r="I404" s="48">
        <f t="shared" si="6"/>
        <v>0</v>
      </c>
      <c r="J404" s="36"/>
      <c r="K404" s="36"/>
      <c r="L404" s="39" t="e">
        <f>VLOOKUP('Time Tracking'!$D404,Lists!O:P,2,FALSE)</f>
        <v>#N/A</v>
      </c>
      <c r="M404" s="51" t="e">
        <f>VLOOKUP(C404,Lists!$R$1:$S$15,2,FALSE)</f>
        <v>#N/A</v>
      </c>
      <c r="N404" s="37"/>
    </row>
    <row r="405" spans="1:14" s="24" customFormat="1" x14ac:dyDescent="0.25">
      <c r="A405" s="32"/>
      <c r="B405" s="33"/>
      <c r="C405" s="33"/>
      <c r="D405" s="33"/>
      <c r="E405" s="44" t="e">
        <f>VLOOKUP(A405,Lists!$U$1:$V$121,2,FALSE)</f>
        <v>#N/A</v>
      </c>
      <c r="F405" s="34"/>
      <c r="G405" s="35"/>
      <c r="H405" s="35"/>
      <c r="I405" s="48">
        <f t="shared" si="6"/>
        <v>0</v>
      </c>
      <c r="J405" s="36"/>
      <c r="K405" s="36"/>
      <c r="L405" s="39" t="e">
        <f>VLOOKUP('Time Tracking'!$D405,Lists!O:P,2,FALSE)</f>
        <v>#N/A</v>
      </c>
      <c r="M405" s="51" t="e">
        <f>VLOOKUP(C405,Lists!$R$1:$S$15,2,FALSE)</f>
        <v>#N/A</v>
      </c>
      <c r="N405" s="37"/>
    </row>
    <row r="406" spans="1:14" s="24" customFormat="1" x14ac:dyDescent="0.25">
      <c r="A406" s="32"/>
      <c r="B406" s="33"/>
      <c r="C406" s="33"/>
      <c r="D406" s="33"/>
      <c r="E406" s="44" t="e">
        <f>VLOOKUP(A406,Lists!$U$1:$V$121,2,FALSE)</f>
        <v>#N/A</v>
      </c>
      <c r="F406" s="34"/>
      <c r="G406" s="35"/>
      <c r="H406" s="35"/>
      <c r="I406" s="48">
        <f t="shared" si="6"/>
        <v>0</v>
      </c>
      <c r="J406" s="36"/>
      <c r="K406" s="36"/>
      <c r="L406" s="39" t="e">
        <f>VLOOKUP('Time Tracking'!$D406,Lists!O:P,2,FALSE)</f>
        <v>#N/A</v>
      </c>
      <c r="M406" s="51" t="e">
        <f>VLOOKUP(C406,Lists!$R$1:$S$15,2,FALSE)</f>
        <v>#N/A</v>
      </c>
      <c r="N406" s="37"/>
    </row>
    <row r="407" spans="1:14" s="24" customFormat="1" x14ac:dyDescent="0.25">
      <c r="A407" s="32"/>
      <c r="B407" s="33"/>
      <c r="C407" s="33"/>
      <c r="D407" s="33"/>
      <c r="E407" s="44" t="e">
        <f>VLOOKUP(A407,Lists!$U$1:$V$121,2,FALSE)</f>
        <v>#N/A</v>
      </c>
      <c r="F407" s="34"/>
      <c r="G407" s="35"/>
      <c r="H407" s="35"/>
      <c r="I407" s="48">
        <f t="shared" si="6"/>
        <v>0</v>
      </c>
      <c r="J407" s="36"/>
      <c r="K407" s="36"/>
      <c r="L407" s="39" t="e">
        <f>VLOOKUP('Time Tracking'!$D407,Lists!O:P,2,FALSE)</f>
        <v>#N/A</v>
      </c>
      <c r="M407" s="51" t="e">
        <f>VLOOKUP(C407,Lists!$R$1:$S$15,2,FALSE)</f>
        <v>#N/A</v>
      </c>
      <c r="N407" s="37"/>
    </row>
    <row r="408" spans="1:14" s="24" customFormat="1" x14ac:dyDescent="0.25">
      <c r="A408" s="32"/>
      <c r="B408" s="33"/>
      <c r="C408" s="33"/>
      <c r="D408" s="33"/>
      <c r="E408" s="44" t="e">
        <f>VLOOKUP(A408,Lists!$U$1:$V$121,2,FALSE)</f>
        <v>#N/A</v>
      </c>
      <c r="F408" s="34"/>
      <c r="G408" s="35"/>
      <c r="H408" s="35"/>
      <c r="I408" s="48">
        <f t="shared" si="6"/>
        <v>0</v>
      </c>
      <c r="J408" s="36"/>
      <c r="K408" s="36"/>
      <c r="L408" s="39" t="e">
        <f>VLOOKUP('Time Tracking'!$D408,Lists!O:P,2,FALSE)</f>
        <v>#N/A</v>
      </c>
      <c r="M408" s="51" t="e">
        <f>VLOOKUP(C408,Lists!$R$1:$S$15,2,FALSE)</f>
        <v>#N/A</v>
      </c>
      <c r="N408" s="37"/>
    </row>
    <row r="409" spans="1:14" s="24" customFormat="1" x14ac:dyDescent="0.25">
      <c r="A409" s="32"/>
      <c r="B409" s="33"/>
      <c r="C409" s="33"/>
      <c r="D409" s="33"/>
      <c r="E409" s="44" t="e">
        <f>VLOOKUP(A409,Lists!$U$1:$V$121,2,FALSE)</f>
        <v>#N/A</v>
      </c>
      <c r="F409" s="34"/>
      <c r="G409" s="35"/>
      <c r="H409" s="35"/>
      <c r="I409" s="48">
        <f t="shared" si="6"/>
        <v>0</v>
      </c>
      <c r="J409" s="36"/>
      <c r="K409" s="36"/>
      <c r="L409" s="39" t="e">
        <f>VLOOKUP('Time Tracking'!$D409,Lists!O:P,2,FALSE)</f>
        <v>#N/A</v>
      </c>
      <c r="M409" s="51" t="e">
        <f>VLOOKUP(C409,Lists!$R$1:$S$15,2,FALSE)</f>
        <v>#N/A</v>
      </c>
      <c r="N409" s="37"/>
    </row>
    <row r="410" spans="1:14" s="24" customFormat="1" x14ac:dyDescent="0.25">
      <c r="A410" s="32"/>
      <c r="B410" s="33"/>
      <c r="C410" s="33"/>
      <c r="D410" s="33"/>
      <c r="E410" s="44" t="e">
        <f>VLOOKUP(A410,Lists!$U$1:$V$121,2,FALSE)</f>
        <v>#N/A</v>
      </c>
      <c r="F410" s="34"/>
      <c r="G410" s="35"/>
      <c r="H410" s="35"/>
      <c r="I410" s="48">
        <f t="shared" si="6"/>
        <v>0</v>
      </c>
      <c r="J410" s="36"/>
      <c r="K410" s="36"/>
      <c r="L410" s="39" t="e">
        <f>VLOOKUP('Time Tracking'!$D410,Lists!O:P,2,FALSE)</f>
        <v>#N/A</v>
      </c>
      <c r="M410" s="51" t="e">
        <f>VLOOKUP(C410,Lists!$R$1:$S$15,2,FALSE)</f>
        <v>#N/A</v>
      </c>
      <c r="N410" s="37"/>
    </row>
    <row r="411" spans="1:14" s="24" customFormat="1" x14ac:dyDescent="0.25">
      <c r="A411" s="32"/>
      <c r="B411" s="33"/>
      <c r="C411" s="33"/>
      <c r="D411" s="33"/>
      <c r="E411" s="44" t="e">
        <f>VLOOKUP(A411,Lists!$U$1:$V$121,2,FALSE)</f>
        <v>#N/A</v>
      </c>
      <c r="F411" s="34"/>
      <c r="G411" s="35"/>
      <c r="H411" s="35"/>
      <c r="I411" s="48">
        <f t="shared" si="6"/>
        <v>0</v>
      </c>
      <c r="J411" s="36"/>
      <c r="K411" s="36"/>
      <c r="L411" s="39" t="e">
        <f>VLOOKUP('Time Tracking'!$D411,Lists!O:P,2,FALSE)</f>
        <v>#N/A</v>
      </c>
      <c r="M411" s="51" t="e">
        <f>VLOOKUP(C411,Lists!$R$1:$S$15,2,FALSE)</f>
        <v>#N/A</v>
      </c>
      <c r="N411" s="37"/>
    </row>
    <row r="412" spans="1:14" s="24" customFormat="1" x14ac:dyDescent="0.25">
      <c r="A412" s="32"/>
      <c r="B412" s="33"/>
      <c r="C412" s="33"/>
      <c r="D412" s="33"/>
      <c r="E412" s="44" t="e">
        <f>VLOOKUP(A412,Lists!$U$1:$V$121,2,FALSE)</f>
        <v>#N/A</v>
      </c>
      <c r="F412" s="34"/>
      <c r="G412" s="35"/>
      <c r="H412" s="35"/>
      <c r="I412" s="48">
        <f t="shared" si="6"/>
        <v>0</v>
      </c>
      <c r="J412" s="36"/>
      <c r="K412" s="36"/>
      <c r="L412" s="39" t="e">
        <f>VLOOKUP('Time Tracking'!$D412,Lists!O:P,2,FALSE)</f>
        <v>#N/A</v>
      </c>
      <c r="M412" s="51" t="e">
        <f>VLOOKUP(C412,Lists!$R$1:$S$15,2,FALSE)</f>
        <v>#N/A</v>
      </c>
      <c r="N412" s="37"/>
    </row>
    <row r="413" spans="1:14" s="24" customFormat="1" x14ac:dyDescent="0.25">
      <c r="A413" s="32"/>
      <c r="B413" s="33"/>
      <c r="C413" s="33"/>
      <c r="D413" s="33"/>
      <c r="E413" s="44" t="e">
        <f>VLOOKUP(A413,Lists!$U$1:$V$121,2,FALSE)</f>
        <v>#N/A</v>
      </c>
      <c r="F413" s="34"/>
      <c r="G413" s="35"/>
      <c r="H413" s="35"/>
      <c r="I413" s="48">
        <f t="shared" si="6"/>
        <v>0</v>
      </c>
      <c r="J413" s="36"/>
      <c r="K413" s="36"/>
      <c r="L413" s="39" t="e">
        <f>VLOOKUP('Time Tracking'!$D413,Lists!O:P,2,FALSE)</f>
        <v>#N/A</v>
      </c>
      <c r="M413" s="51" t="e">
        <f>VLOOKUP(C413,Lists!$R$1:$S$15,2,FALSE)</f>
        <v>#N/A</v>
      </c>
      <c r="N413" s="37"/>
    </row>
    <row r="414" spans="1:14" s="24" customFormat="1" x14ac:dyDescent="0.25">
      <c r="A414" s="32"/>
      <c r="B414" s="33"/>
      <c r="C414" s="33"/>
      <c r="D414" s="33"/>
      <c r="E414" s="44" t="e">
        <f>VLOOKUP(A414,Lists!$U$1:$V$121,2,FALSE)</f>
        <v>#N/A</v>
      </c>
      <c r="F414" s="34"/>
      <c r="G414" s="35"/>
      <c r="H414" s="35"/>
      <c r="I414" s="48">
        <f t="shared" si="6"/>
        <v>0</v>
      </c>
      <c r="J414" s="36"/>
      <c r="K414" s="36"/>
      <c r="L414" s="39" t="e">
        <f>VLOOKUP('Time Tracking'!$D414,Lists!O:P,2,FALSE)</f>
        <v>#N/A</v>
      </c>
      <c r="M414" s="51" t="e">
        <f>VLOOKUP(C414,Lists!$R$1:$S$15,2,FALSE)</f>
        <v>#N/A</v>
      </c>
      <c r="N414" s="37"/>
    </row>
    <row r="415" spans="1:14" s="24" customFormat="1" x14ac:dyDescent="0.25">
      <c r="A415" s="32"/>
      <c r="B415" s="33"/>
      <c r="C415" s="33"/>
      <c r="D415" s="33"/>
      <c r="E415" s="44" t="e">
        <f>VLOOKUP(A415,Lists!$U$1:$V$121,2,FALSE)</f>
        <v>#N/A</v>
      </c>
      <c r="F415" s="34"/>
      <c r="G415" s="35"/>
      <c r="H415" s="35"/>
      <c r="I415" s="48">
        <f t="shared" si="6"/>
        <v>0</v>
      </c>
      <c r="J415" s="36"/>
      <c r="K415" s="36"/>
      <c r="L415" s="39" t="e">
        <f>VLOOKUP('Time Tracking'!$D415,Lists!O:P,2,FALSE)</f>
        <v>#N/A</v>
      </c>
      <c r="M415" s="51" t="e">
        <f>VLOOKUP(C415,Lists!$R$1:$S$15,2,FALSE)</f>
        <v>#N/A</v>
      </c>
      <c r="N415" s="37"/>
    </row>
    <row r="416" spans="1:14" s="24" customFormat="1" x14ac:dyDescent="0.25">
      <c r="A416" s="32"/>
      <c r="B416" s="33"/>
      <c r="C416" s="33"/>
      <c r="D416" s="33"/>
      <c r="E416" s="44" t="e">
        <f>VLOOKUP(A416,Lists!$U$1:$V$121,2,FALSE)</f>
        <v>#N/A</v>
      </c>
      <c r="F416" s="34"/>
      <c r="G416" s="35"/>
      <c r="H416" s="35"/>
      <c r="I416" s="48">
        <f t="shared" si="6"/>
        <v>0</v>
      </c>
      <c r="J416" s="36"/>
      <c r="K416" s="36"/>
      <c r="L416" s="39" t="e">
        <f>VLOOKUP('Time Tracking'!$D416,Lists!O:P,2,FALSE)</f>
        <v>#N/A</v>
      </c>
      <c r="M416" s="51" t="e">
        <f>VLOOKUP(C416,Lists!$R$1:$S$15,2,FALSE)</f>
        <v>#N/A</v>
      </c>
      <c r="N416" s="37"/>
    </row>
    <row r="417" spans="1:14" s="24" customFormat="1" x14ac:dyDescent="0.25">
      <c r="A417" s="32"/>
      <c r="B417" s="33"/>
      <c r="C417" s="33"/>
      <c r="D417" s="33"/>
      <c r="E417" s="44" t="e">
        <f>VLOOKUP(A417,Lists!$U$1:$V$121,2,FALSE)</f>
        <v>#N/A</v>
      </c>
      <c r="F417" s="34"/>
      <c r="G417" s="35"/>
      <c r="H417" s="35"/>
      <c r="I417" s="48">
        <f t="shared" si="6"/>
        <v>0</v>
      </c>
      <c r="J417" s="36"/>
      <c r="K417" s="36"/>
      <c r="L417" s="39" t="e">
        <f>VLOOKUP('Time Tracking'!$D417,Lists!O:P,2,FALSE)</f>
        <v>#N/A</v>
      </c>
      <c r="M417" s="51" t="e">
        <f>VLOOKUP(C417,Lists!$R$1:$S$15,2,FALSE)</f>
        <v>#N/A</v>
      </c>
      <c r="N417" s="37"/>
    </row>
    <row r="418" spans="1:14" s="24" customFormat="1" x14ac:dyDescent="0.25">
      <c r="A418" s="32"/>
      <c r="B418" s="33"/>
      <c r="C418" s="33"/>
      <c r="D418" s="33"/>
      <c r="E418" s="44" t="e">
        <f>VLOOKUP(A418,Lists!$U$1:$V$121,2,FALSE)</f>
        <v>#N/A</v>
      </c>
      <c r="F418" s="34"/>
      <c r="G418" s="35"/>
      <c r="H418" s="35"/>
      <c r="I418" s="48">
        <f t="shared" si="6"/>
        <v>0</v>
      </c>
      <c r="J418" s="36"/>
      <c r="K418" s="36"/>
      <c r="L418" s="39" t="e">
        <f>VLOOKUP('Time Tracking'!$D418,Lists!O:P,2,FALSE)</f>
        <v>#N/A</v>
      </c>
      <c r="M418" s="51" t="e">
        <f>VLOOKUP(C418,Lists!$R$1:$S$15,2,FALSE)</f>
        <v>#N/A</v>
      </c>
      <c r="N418" s="37"/>
    </row>
    <row r="419" spans="1:14" s="24" customFormat="1" x14ac:dyDescent="0.25">
      <c r="A419" s="32"/>
      <c r="B419" s="33"/>
      <c r="C419" s="33"/>
      <c r="D419" s="33"/>
      <c r="E419" s="44" t="e">
        <f>VLOOKUP(A419,Lists!$U$1:$V$121,2,FALSE)</f>
        <v>#N/A</v>
      </c>
      <c r="F419" s="34"/>
      <c r="G419" s="35"/>
      <c r="H419" s="35"/>
      <c r="I419" s="48">
        <f t="shared" si="6"/>
        <v>0</v>
      </c>
      <c r="J419" s="36"/>
      <c r="K419" s="36"/>
      <c r="L419" s="39" t="e">
        <f>VLOOKUP('Time Tracking'!$D419,Lists!O:P,2,FALSE)</f>
        <v>#N/A</v>
      </c>
      <c r="M419" s="51" t="e">
        <f>VLOOKUP(C419,Lists!$R$1:$S$15,2,FALSE)</f>
        <v>#N/A</v>
      </c>
      <c r="N419" s="37"/>
    </row>
    <row r="420" spans="1:14" s="24" customFormat="1" x14ac:dyDescent="0.25">
      <c r="A420" s="32"/>
      <c r="B420" s="33"/>
      <c r="C420" s="33"/>
      <c r="D420" s="33"/>
      <c r="E420" s="44" t="e">
        <f>VLOOKUP(A420,Lists!$U$1:$V$121,2,FALSE)</f>
        <v>#N/A</v>
      </c>
      <c r="F420" s="34"/>
      <c r="G420" s="35"/>
      <c r="H420" s="35"/>
      <c r="I420" s="48">
        <f t="shared" si="6"/>
        <v>0</v>
      </c>
      <c r="J420" s="36"/>
      <c r="K420" s="36"/>
      <c r="L420" s="39" t="e">
        <f>VLOOKUP('Time Tracking'!$D420,Lists!O:P,2,FALSE)</f>
        <v>#N/A</v>
      </c>
      <c r="M420" s="51" t="e">
        <f>VLOOKUP(C420,Lists!$R$1:$S$15,2,FALSE)</f>
        <v>#N/A</v>
      </c>
      <c r="N420" s="37"/>
    </row>
    <row r="421" spans="1:14" s="24" customFormat="1" x14ac:dyDescent="0.25">
      <c r="A421" s="32"/>
      <c r="B421" s="33"/>
      <c r="C421" s="33"/>
      <c r="D421" s="33"/>
      <c r="E421" s="44" t="e">
        <f>VLOOKUP(A421,Lists!$U$1:$V$121,2,FALSE)</f>
        <v>#N/A</v>
      </c>
      <c r="F421" s="34"/>
      <c r="G421" s="35"/>
      <c r="H421" s="35"/>
      <c r="I421" s="48">
        <f t="shared" si="6"/>
        <v>0</v>
      </c>
      <c r="J421" s="36"/>
      <c r="K421" s="36"/>
      <c r="L421" s="39" t="e">
        <f>VLOOKUP('Time Tracking'!$D421,Lists!O:P,2,FALSE)</f>
        <v>#N/A</v>
      </c>
      <c r="M421" s="51" t="e">
        <f>VLOOKUP(C421,Lists!$R$1:$S$15,2,FALSE)</f>
        <v>#N/A</v>
      </c>
      <c r="N421" s="37"/>
    </row>
    <row r="422" spans="1:14" s="24" customFormat="1" x14ac:dyDescent="0.25">
      <c r="A422" s="32"/>
      <c r="B422" s="33"/>
      <c r="C422" s="33"/>
      <c r="D422" s="33"/>
      <c r="E422" s="44" t="e">
        <f>VLOOKUP(A422,Lists!$U$1:$V$121,2,FALSE)</f>
        <v>#N/A</v>
      </c>
      <c r="F422" s="34"/>
      <c r="G422" s="35"/>
      <c r="H422" s="35"/>
      <c r="I422" s="48">
        <f t="shared" si="6"/>
        <v>0</v>
      </c>
      <c r="J422" s="36"/>
      <c r="K422" s="36"/>
      <c r="L422" s="39" t="e">
        <f>VLOOKUP('Time Tracking'!$D422,Lists!O:P,2,FALSE)</f>
        <v>#N/A</v>
      </c>
      <c r="M422" s="51" t="e">
        <f>VLOOKUP(C422,Lists!$R$1:$S$15,2,FALSE)</f>
        <v>#N/A</v>
      </c>
      <c r="N422" s="37"/>
    </row>
    <row r="423" spans="1:14" s="24" customFormat="1" x14ac:dyDescent="0.25">
      <c r="A423" s="32"/>
      <c r="B423" s="33"/>
      <c r="C423" s="33"/>
      <c r="D423" s="33"/>
      <c r="E423" s="44" t="e">
        <f>VLOOKUP(A423,Lists!$U$1:$V$121,2,FALSE)</f>
        <v>#N/A</v>
      </c>
      <c r="F423" s="34"/>
      <c r="G423" s="35"/>
      <c r="H423" s="35"/>
      <c r="I423" s="48">
        <f t="shared" si="6"/>
        <v>0</v>
      </c>
      <c r="J423" s="36"/>
      <c r="K423" s="36"/>
      <c r="L423" s="39" t="e">
        <f>VLOOKUP('Time Tracking'!$D423,Lists!O:P,2,FALSE)</f>
        <v>#N/A</v>
      </c>
      <c r="M423" s="51" t="e">
        <f>VLOOKUP(C423,Lists!$R$1:$S$15,2,FALSE)</f>
        <v>#N/A</v>
      </c>
      <c r="N423" s="37"/>
    </row>
    <row r="424" spans="1:14" s="24" customFormat="1" x14ac:dyDescent="0.25">
      <c r="A424" s="32"/>
      <c r="B424" s="33"/>
      <c r="C424" s="33"/>
      <c r="D424" s="33"/>
      <c r="E424" s="44" t="e">
        <f>VLOOKUP(A424,Lists!$U$1:$V$121,2,FALSE)</f>
        <v>#N/A</v>
      </c>
      <c r="F424" s="34"/>
      <c r="G424" s="35"/>
      <c r="H424" s="35"/>
      <c r="I424" s="48">
        <f t="shared" si="6"/>
        <v>0</v>
      </c>
      <c r="J424" s="36"/>
      <c r="K424" s="36"/>
      <c r="L424" s="39" t="e">
        <f>VLOOKUP('Time Tracking'!$D424,Lists!O:P,2,FALSE)</f>
        <v>#N/A</v>
      </c>
      <c r="M424" s="51" t="e">
        <f>VLOOKUP(C424,Lists!$R$1:$S$15,2,FALSE)</f>
        <v>#N/A</v>
      </c>
      <c r="N424" s="37"/>
    </row>
    <row r="425" spans="1:14" s="24" customFormat="1" x14ac:dyDescent="0.25">
      <c r="A425" s="32"/>
      <c r="B425" s="33"/>
      <c r="C425" s="33"/>
      <c r="D425" s="33"/>
      <c r="E425" s="44" t="e">
        <f>VLOOKUP(A425,Lists!$U$1:$V$121,2,FALSE)</f>
        <v>#N/A</v>
      </c>
      <c r="F425" s="34"/>
      <c r="G425" s="35"/>
      <c r="H425" s="35"/>
      <c r="I425" s="48">
        <f t="shared" si="6"/>
        <v>0</v>
      </c>
      <c r="J425" s="36"/>
      <c r="K425" s="36"/>
      <c r="L425" s="39" t="e">
        <f>VLOOKUP('Time Tracking'!$D425,Lists!O:P,2,FALSE)</f>
        <v>#N/A</v>
      </c>
      <c r="M425" s="51" t="e">
        <f>VLOOKUP(C425,Lists!$R$1:$S$15,2,FALSE)</f>
        <v>#N/A</v>
      </c>
      <c r="N425" s="37"/>
    </row>
    <row r="426" spans="1:14" s="24" customFormat="1" x14ac:dyDescent="0.25">
      <c r="A426" s="32"/>
      <c r="B426" s="33"/>
      <c r="C426" s="33"/>
      <c r="D426" s="33"/>
      <c r="E426" s="44" t="e">
        <f>VLOOKUP(A426,Lists!$U$1:$V$121,2,FALSE)</f>
        <v>#N/A</v>
      </c>
      <c r="F426" s="34"/>
      <c r="G426" s="35"/>
      <c r="H426" s="35"/>
      <c r="I426" s="48">
        <f t="shared" si="6"/>
        <v>0</v>
      </c>
      <c r="J426" s="36"/>
      <c r="K426" s="36"/>
      <c r="L426" s="39" t="e">
        <f>VLOOKUP('Time Tracking'!$D426,Lists!O:P,2,FALSE)</f>
        <v>#N/A</v>
      </c>
      <c r="M426" s="51" t="e">
        <f>VLOOKUP(C426,Lists!$R$1:$S$15,2,FALSE)</f>
        <v>#N/A</v>
      </c>
      <c r="N426" s="37"/>
    </row>
    <row r="427" spans="1:14" s="24" customFormat="1" x14ac:dyDescent="0.25">
      <c r="A427" s="32"/>
      <c r="B427" s="33"/>
      <c r="C427" s="33"/>
      <c r="D427" s="33"/>
      <c r="E427" s="44" t="e">
        <f>VLOOKUP(A427,Lists!$U$1:$V$121,2,FALSE)</f>
        <v>#N/A</v>
      </c>
      <c r="F427" s="34"/>
      <c r="G427" s="35"/>
      <c r="H427" s="35"/>
      <c r="I427" s="48">
        <f t="shared" si="6"/>
        <v>0</v>
      </c>
      <c r="J427" s="36"/>
      <c r="K427" s="36"/>
      <c r="L427" s="39" t="e">
        <f>VLOOKUP('Time Tracking'!$D427,Lists!O:P,2,FALSE)</f>
        <v>#N/A</v>
      </c>
      <c r="M427" s="51" t="e">
        <f>VLOOKUP(C427,Lists!$R$1:$S$15,2,FALSE)</f>
        <v>#N/A</v>
      </c>
      <c r="N427" s="37"/>
    </row>
    <row r="428" spans="1:14" s="24" customFormat="1" x14ac:dyDescent="0.25">
      <c r="A428" s="32"/>
      <c r="B428" s="33"/>
      <c r="C428" s="33"/>
      <c r="D428" s="33"/>
      <c r="E428" s="44" t="e">
        <f>VLOOKUP(A428,Lists!$U$1:$V$121,2,FALSE)</f>
        <v>#N/A</v>
      </c>
      <c r="F428" s="34"/>
      <c r="G428" s="35"/>
      <c r="H428" s="35"/>
      <c r="I428" s="48">
        <f t="shared" si="6"/>
        <v>0</v>
      </c>
      <c r="J428" s="36"/>
      <c r="K428" s="36"/>
      <c r="L428" s="39" t="e">
        <f>VLOOKUP('Time Tracking'!$D428,Lists!O:P,2,FALSE)</f>
        <v>#N/A</v>
      </c>
      <c r="M428" s="51" t="e">
        <f>VLOOKUP(C428,Lists!$R$1:$S$15,2,FALSE)</f>
        <v>#N/A</v>
      </c>
      <c r="N428" s="37"/>
    </row>
    <row r="429" spans="1:14" s="24" customFormat="1" x14ac:dyDescent="0.25">
      <c r="A429" s="32"/>
      <c r="B429" s="33"/>
      <c r="C429" s="33"/>
      <c r="D429" s="33"/>
      <c r="E429" s="44" t="e">
        <f>VLOOKUP(A429,Lists!$U$1:$V$121,2,FALSE)</f>
        <v>#N/A</v>
      </c>
      <c r="F429" s="34"/>
      <c r="G429" s="35"/>
      <c r="H429" s="35"/>
      <c r="I429" s="48">
        <f t="shared" si="6"/>
        <v>0</v>
      </c>
      <c r="J429" s="36"/>
      <c r="K429" s="36"/>
      <c r="L429" s="39" t="e">
        <f>VLOOKUP('Time Tracking'!$D429,Lists!O:P,2,FALSE)</f>
        <v>#N/A</v>
      </c>
      <c r="M429" s="51" t="e">
        <f>VLOOKUP(C429,Lists!$R$1:$S$15,2,FALSE)</f>
        <v>#N/A</v>
      </c>
      <c r="N429" s="37"/>
    </row>
    <row r="430" spans="1:14" s="24" customFormat="1" x14ac:dyDescent="0.25">
      <c r="A430" s="32"/>
      <c r="B430" s="33"/>
      <c r="C430" s="33"/>
      <c r="D430" s="33"/>
      <c r="E430" s="44" t="e">
        <f>VLOOKUP(A430,Lists!$U$1:$V$121,2,FALSE)</f>
        <v>#N/A</v>
      </c>
      <c r="F430" s="34"/>
      <c r="G430" s="35"/>
      <c r="H430" s="35"/>
      <c r="I430" s="48">
        <f t="shared" si="6"/>
        <v>0</v>
      </c>
      <c r="J430" s="36"/>
      <c r="K430" s="36"/>
      <c r="L430" s="39" t="e">
        <f>VLOOKUP('Time Tracking'!$D430,Lists!O:P,2,FALSE)</f>
        <v>#N/A</v>
      </c>
      <c r="M430" s="51" t="e">
        <f>VLOOKUP(C430,Lists!$R$1:$S$15,2,FALSE)</f>
        <v>#N/A</v>
      </c>
      <c r="N430" s="37"/>
    </row>
    <row r="431" spans="1:14" s="24" customFormat="1" x14ac:dyDescent="0.25">
      <c r="A431" s="32"/>
      <c r="B431" s="33"/>
      <c r="C431" s="33"/>
      <c r="D431" s="33"/>
      <c r="E431" s="44" t="e">
        <f>VLOOKUP(A431,Lists!$U$1:$V$121,2,FALSE)</f>
        <v>#N/A</v>
      </c>
      <c r="F431" s="34"/>
      <c r="G431" s="35"/>
      <c r="H431" s="35"/>
      <c r="I431" s="48">
        <f t="shared" si="6"/>
        <v>0</v>
      </c>
      <c r="J431" s="36"/>
      <c r="K431" s="36"/>
      <c r="L431" s="39" t="e">
        <f>VLOOKUP('Time Tracking'!$D431,Lists!O:P,2,FALSE)</f>
        <v>#N/A</v>
      </c>
      <c r="M431" s="51" t="e">
        <f>VLOOKUP(C431,Lists!$R$1:$S$15,2,FALSE)</f>
        <v>#N/A</v>
      </c>
      <c r="N431" s="37"/>
    </row>
    <row r="432" spans="1:14" s="24" customFormat="1" x14ac:dyDescent="0.25">
      <c r="A432" s="32"/>
      <c r="B432" s="33"/>
      <c r="C432" s="33"/>
      <c r="D432" s="33"/>
      <c r="E432" s="44" t="e">
        <f>VLOOKUP(A432,Lists!$U$1:$V$121,2,FALSE)</f>
        <v>#N/A</v>
      </c>
      <c r="F432" s="34"/>
      <c r="G432" s="35"/>
      <c r="H432" s="35"/>
      <c r="I432" s="48">
        <f t="shared" si="6"/>
        <v>0</v>
      </c>
      <c r="J432" s="36"/>
      <c r="K432" s="36"/>
      <c r="L432" s="39" t="e">
        <f>VLOOKUP('Time Tracking'!$D432,Lists!O:P,2,FALSE)</f>
        <v>#N/A</v>
      </c>
      <c r="M432" s="51" t="e">
        <f>VLOOKUP(C432,Lists!$R$1:$S$15,2,FALSE)</f>
        <v>#N/A</v>
      </c>
      <c r="N432" s="37"/>
    </row>
    <row r="433" spans="1:14" s="24" customFormat="1" x14ac:dyDescent="0.25">
      <c r="A433" s="32"/>
      <c r="B433" s="33"/>
      <c r="C433" s="33"/>
      <c r="D433" s="33"/>
      <c r="E433" s="44" t="e">
        <f>VLOOKUP(A433,Lists!$U$1:$V$121,2,FALSE)</f>
        <v>#N/A</v>
      </c>
      <c r="F433" s="34"/>
      <c r="G433" s="35"/>
      <c r="H433" s="35"/>
      <c r="I433" s="48">
        <f t="shared" si="6"/>
        <v>0</v>
      </c>
      <c r="J433" s="36"/>
      <c r="K433" s="36"/>
      <c r="L433" s="39" t="e">
        <f>VLOOKUP('Time Tracking'!$D433,Lists!O:P,2,FALSE)</f>
        <v>#N/A</v>
      </c>
      <c r="M433" s="51" t="e">
        <f>VLOOKUP(C433,Lists!$R$1:$S$15,2,FALSE)</f>
        <v>#N/A</v>
      </c>
      <c r="N433" s="37"/>
    </row>
    <row r="434" spans="1:14" s="24" customFormat="1" x14ac:dyDescent="0.25">
      <c r="A434" s="32"/>
      <c r="B434" s="33"/>
      <c r="C434" s="33"/>
      <c r="D434" s="33"/>
      <c r="E434" s="44" t="e">
        <f>VLOOKUP(A434,Lists!$U$1:$V$121,2,FALSE)</f>
        <v>#N/A</v>
      </c>
      <c r="F434" s="34"/>
      <c r="G434" s="35"/>
      <c r="H434" s="35"/>
      <c r="I434" s="48">
        <f t="shared" si="6"/>
        <v>0</v>
      </c>
      <c r="J434" s="36"/>
      <c r="K434" s="36"/>
      <c r="L434" s="39" t="e">
        <f>VLOOKUP('Time Tracking'!$D434,Lists!O:P,2,FALSE)</f>
        <v>#N/A</v>
      </c>
      <c r="M434" s="51" t="e">
        <f>VLOOKUP(C434,Lists!$R$1:$S$15,2,FALSE)</f>
        <v>#N/A</v>
      </c>
      <c r="N434" s="37"/>
    </row>
    <row r="435" spans="1:14" s="24" customFormat="1" x14ac:dyDescent="0.25">
      <c r="A435" s="32"/>
      <c r="B435" s="33"/>
      <c r="C435" s="33"/>
      <c r="D435" s="33"/>
      <c r="E435" s="44" t="e">
        <f>VLOOKUP(A435,Lists!$U$1:$V$121,2,FALSE)</f>
        <v>#N/A</v>
      </c>
      <c r="F435" s="34"/>
      <c r="G435" s="35"/>
      <c r="H435" s="35"/>
      <c r="I435" s="48">
        <f t="shared" si="6"/>
        <v>0</v>
      </c>
      <c r="J435" s="36"/>
      <c r="K435" s="36"/>
      <c r="L435" s="39" t="e">
        <f>VLOOKUP('Time Tracking'!$D435,Lists!O:P,2,FALSE)</f>
        <v>#N/A</v>
      </c>
      <c r="M435" s="51" t="e">
        <f>VLOOKUP(C435,Lists!$R$1:$S$15,2,FALSE)</f>
        <v>#N/A</v>
      </c>
      <c r="N435" s="37"/>
    </row>
    <row r="436" spans="1:14" s="24" customFormat="1" x14ac:dyDescent="0.25">
      <c r="A436" s="32"/>
      <c r="B436" s="33"/>
      <c r="C436" s="33"/>
      <c r="D436" s="33"/>
      <c r="E436" s="44" t="e">
        <f>VLOOKUP(A436,Lists!$U$1:$V$121,2,FALSE)</f>
        <v>#N/A</v>
      </c>
      <c r="F436" s="34"/>
      <c r="G436" s="35"/>
      <c r="H436" s="35"/>
      <c r="I436" s="48">
        <f t="shared" si="6"/>
        <v>0</v>
      </c>
      <c r="J436" s="36"/>
      <c r="K436" s="36"/>
      <c r="L436" s="39" t="e">
        <f>VLOOKUP('Time Tracking'!$D436,Lists!O:P,2,FALSE)</f>
        <v>#N/A</v>
      </c>
      <c r="M436" s="51" t="e">
        <f>VLOOKUP(C436,Lists!$R$1:$S$15,2,FALSE)</f>
        <v>#N/A</v>
      </c>
      <c r="N436" s="37"/>
    </row>
    <row r="437" spans="1:14" s="24" customFormat="1" x14ac:dyDescent="0.25">
      <c r="A437" s="32"/>
      <c r="B437" s="33"/>
      <c r="C437" s="33"/>
      <c r="D437" s="33"/>
      <c r="E437" s="44" t="e">
        <f>VLOOKUP(A437,Lists!$U$1:$V$121,2,FALSE)</f>
        <v>#N/A</v>
      </c>
      <c r="F437" s="34"/>
      <c r="G437" s="35"/>
      <c r="H437" s="35"/>
      <c r="I437" s="48">
        <f t="shared" si="6"/>
        <v>0</v>
      </c>
      <c r="J437" s="36"/>
      <c r="K437" s="36"/>
      <c r="L437" s="39" t="e">
        <f>VLOOKUP('Time Tracking'!$D437,Lists!O:P,2,FALSE)</f>
        <v>#N/A</v>
      </c>
      <c r="M437" s="51" t="e">
        <f>VLOOKUP(C437,Lists!$R$1:$S$15,2,FALSE)</f>
        <v>#N/A</v>
      </c>
      <c r="N437" s="37"/>
    </row>
    <row r="438" spans="1:14" s="24" customFormat="1" x14ac:dyDescent="0.25">
      <c r="A438" s="32"/>
      <c r="B438" s="33"/>
      <c r="C438" s="33"/>
      <c r="D438" s="33"/>
      <c r="E438" s="44" t="e">
        <f>VLOOKUP(A438,Lists!$U$1:$V$121,2,FALSE)</f>
        <v>#N/A</v>
      </c>
      <c r="F438" s="34"/>
      <c r="G438" s="35"/>
      <c r="H438" s="35"/>
      <c r="I438" s="48">
        <f t="shared" si="6"/>
        <v>0</v>
      </c>
      <c r="J438" s="36"/>
      <c r="K438" s="36"/>
      <c r="L438" s="39" t="e">
        <f>VLOOKUP('Time Tracking'!$D438,Lists!O:P,2,FALSE)</f>
        <v>#N/A</v>
      </c>
      <c r="M438" s="51" t="e">
        <f>VLOOKUP(C438,Lists!$R$1:$S$15,2,FALSE)</f>
        <v>#N/A</v>
      </c>
      <c r="N438" s="37"/>
    </row>
    <row r="439" spans="1:14" s="24" customFormat="1" x14ac:dyDescent="0.25">
      <c r="A439" s="32"/>
      <c r="B439" s="33"/>
      <c r="C439" s="33"/>
      <c r="D439" s="33"/>
      <c r="E439" s="44" t="e">
        <f>VLOOKUP(A439,Lists!$U$1:$V$121,2,FALSE)</f>
        <v>#N/A</v>
      </c>
      <c r="F439" s="34"/>
      <c r="G439" s="35"/>
      <c r="H439" s="35"/>
      <c r="I439" s="48">
        <f t="shared" si="6"/>
        <v>0</v>
      </c>
      <c r="J439" s="36"/>
      <c r="K439" s="36"/>
      <c r="L439" s="39" t="e">
        <f>VLOOKUP('Time Tracking'!$D439,Lists!O:P,2,FALSE)</f>
        <v>#N/A</v>
      </c>
      <c r="M439" s="51" t="e">
        <f>VLOOKUP(C439,Lists!$R$1:$S$15,2,FALSE)</f>
        <v>#N/A</v>
      </c>
      <c r="N439" s="37"/>
    </row>
    <row r="440" spans="1:14" s="24" customFormat="1" x14ac:dyDescent="0.25">
      <c r="A440" s="32"/>
      <c r="B440" s="33"/>
      <c r="C440" s="33"/>
      <c r="D440" s="33"/>
      <c r="E440" s="44" t="e">
        <f>VLOOKUP(A440,Lists!$U$1:$V$121,2,FALSE)</f>
        <v>#N/A</v>
      </c>
      <c r="F440" s="34"/>
      <c r="G440" s="35"/>
      <c r="H440" s="35"/>
      <c r="I440" s="48">
        <f t="shared" si="6"/>
        <v>0</v>
      </c>
      <c r="J440" s="36"/>
      <c r="K440" s="36"/>
      <c r="L440" s="39" t="e">
        <f>VLOOKUP('Time Tracking'!$D440,Lists!O:P,2,FALSE)</f>
        <v>#N/A</v>
      </c>
      <c r="M440" s="51" t="e">
        <f>VLOOKUP(C440,Lists!$R$1:$S$15,2,FALSE)</f>
        <v>#N/A</v>
      </c>
      <c r="N440" s="37"/>
    </row>
    <row r="441" spans="1:14" s="24" customFormat="1" x14ac:dyDescent="0.25">
      <c r="A441" s="32"/>
      <c r="B441" s="33"/>
      <c r="C441" s="33"/>
      <c r="D441" s="33"/>
      <c r="E441" s="44" t="e">
        <f>VLOOKUP(A441,Lists!$U$1:$V$121,2,FALSE)</f>
        <v>#N/A</v>
      </c>
      <c r="F441" s="34"/>
      <c r="G441" s="35"/>
      <c r="H441" s="35"/>
      <c r="I441" s="48">
        <f t="shared" si="6"/>
        <v>0</v>
      </c>
      <c r="J441" s="36"/>
      <c r="K441" s="36"/>
      <c r="L441" s="39" t="e">
        <f>VLOOKUP('Time Tracking'!$D441,Lists!O:P,2,FALSE)</f>
        <v>#N/A</v>
      </c>
      <c r="M441" s="51" t="e">
        <f>VLOOKUP(C441,Lists!$R$1:$S$15,2,FALSE)</f>
        <v>#N/A</v>
      </c>
      <c r="N441" s="37"/>
    </row>
    <row r="442" spans="1:14" s="24" customFormat="1" x14ac:dyDescent="0.25">
      <c r="A442" s="32"/>
      <c r="B442" s="33"/>
      <c r="C442" s="33"/>
      <c r="D442" s="33"/>
      <c r="E442" s="44" t="e">
        <f>VLOOKUP(A442,Lists!$U$1:$V$121,2,FALSE)</f>
        <v>#N/A</v>
      </c>
      <c r="F442" s="34"/>
      <c r="G442" s="35"/>
      <c r="H442" s="35"/>
      <c r="I442" s="48">
        <f t="shared" si="6"/>
        <v>0</v>
      </c>
      <c r="J442" s="36"/>
      <c r="K442" s="36"/>
      <c r="L442" s="39" t="e">
        <f>VLOOKUP('Time Tracking'!$D442,Lists!O:P,2,FALSE)</f>
        <v>#N/A</v>
      </c>
      <c r="M442" s="51" t="e">
        <f>VLOOKUP(C442,Lists!$R$1:$S$15,2,FALSE)</f>
        <v>#N/A</v>
      </c>
      <c r="N442" s="37"/>
    </row>
    <row r="443" spans="1:14" s="24" customFormat="1" x14ac:dyDescent="0.25">
      <c r="A443" s="32"/>
      <c r="B443" s="33"/>
      <c r="C443" s="33"/>
      <c r="D443" s="33"/>
      <c r="E443" s="44" t="e">
        <f>VLOOKUP(A443,Lists!$U$1:$V$121,2,FALSE)</f>
        <v>#N/A</v>
      </c>
      <c r="F443" s="34"/>
      <c r="G443" s="35"/>
      <c r="H443" s="35"/>
      <c r="I443" s="48">
        <f t="shared" si="6"/>
        <v>0</v>
      </c>
      <c r="J443" s="36"/>
      <c r="K443" s="36"/>
      <c r="L443" s="39" t="e">
        <f>VLOOKUP('Time Tracking'!$D443,Lists!O:P,2,FALSE)</f>
        <v>#N/A</v>
      </c>
      <c r="M443" s="51" t="e">
        <f>VLOOKUP(C443,Lists!$R$1:$S$15,2,FALSE)</f>
        <v>#N/A</v>
      </c>
      <c r="N443" s="37"/>
    </row>
    <row r="444" spans="1:14" s="24" customFormat="1" x14ac:dyDescent="0.25">
      <c r="A444" s="32"/>
      <c r="B444" s="33"/>
      <c r="C444" s="33"/>
      <c r="D444" s="33"/>
      <c r="E444" s="44" t="e">
        <f>VLOOKUP(A444,Lists!$U$1:$V$121,2,FALSE)</f>
        <v>#N/A</v>
      </c>
      <c r="F444" s="34"/>
      <c r="G444" s="35"/>
      <c r="H444" s="35"/>
      <c r="I444" s="48">
        <f t="shared" si="6"/>
        <v>0</v>
      </c>
      <c r="J444" s="36"/>
      <c r="K444" s="36"/>
      <c r="L444" s="39" t="e">
        <f>VLOOKUP('Time Tracking'!$D444,Lists!O:P,2,FALSE)</f>
        <v>#N/A</v>
      </c>
      <c r="M444" s="51" t="e">
        <f>VLOOKUP(C444,Lists!$R$1:$S$15,2,FALSE)</f>
        <v>#N/A</v>
      </c>
      <c r="N444" s="37"/>
    </row>
    <row r="445" spans="1:14" s="24" customFormat="1" x14ac:dyDescent="0.25">
      <c r="A445" s="32"/>
      <c r="B445" s="33"/>
      <c r="C445" s="33"/>
      <c r="D445" s="33"/>
      <c r="E445" s="44" t="e">
        <f>VLOOKUP(A445,Lists!$U$1:$V$121,2,FALSE)</f>
        <v>#N/A</v>
      </c>
      <c r="F445" s="34"/>
      <c r="G445" s="35"/>
      <c r="H445" s="35"/>
      <c r="I445" s="48">
        <f t="shared" si="6"/>
        <v>0</v>
      </c>
      <c r="J445" s="36"/>
      <c r="K445" s="36"/>
      <c r="L445" s="39" t="e">
        <f>VLOOKUP('Time Tracking'!$D445,Lists!O:P,2,FALSE)</f>
        <v>#N/A</v>
      </c>
      <c r="M445" s="51" t="e">
        <f>VLOOKUP(C445,Lists!$R$1:$S$15,2,FALSE)</f>
        <v>#N/A</v>
      </c>
      <c r="N445" s="37"/>
    </row>
    <row r="446" spans="1:14" s="24" customFormat="1" x14ac:dyDescent="0.25">
      <c r="A446" s="32"/>
      <c r="B446" s="33"/>
      <c r="C446" s="33"/>
      <c r="D446" s="33"/>
      <c r="E446" s="44" t="e">
        <f>VLOOKUP(A446,Lists!$U$1:$V$121,2,FALSE)</f>
        <v>#N/A</v>
      </c>
      <c r="F446" s="34"/>
      <c r="G446" s="35"/>
      <c r="H446" s="35"/>
      <c r="I446" s="48">
        <f t="shared" si="6"/>
        <v>0</v>
      </c>
      <c r="J446" s="36"/>
      <c r="K446" s="36"/>
      <c r="L446" s="39" t="e">
        <f>VLOOKUP('Time Tracking'!$D446,Lists!O:P,2,FALSE)</f>
        <v>#N/A</v>
      </c>
      <c r="M446" s="51" t="e">
        <f>VLOOKUP(C446,Lists!$R$1:$S$15,2,FALSE)</f>
        <v>#N/A</v>
      </c>
      <c r="N446" s="37"/>
    </row>
    <row r="447" spans="1:14" s="24" customFormat="1" x14ac:dyDescent="0.25">
      <c r="A447" s="32"/>
      <c r="B447" s="33"/>
      <c r="C447" s="33"/>
      <c r="D447" s="33"/>
      <c r="E447" s="44" t="e">
        <f>VLOOKUP(A447,Lists!$U$1:$V$121,2,FALSE)</f>
        <v>#N/A</v>
      </c>
      <c r="F447" s="34"/>
      <c r="G447" s="35"/>
      <c r="H447" s="35"/>
      <c r="I447" s="48">
        <f t="shared" si="6"/>
        <v>0</v>
      </c>
      <c r="J447" s="36"/>
      <c r="K447" s="36"/>
      <c r="L447" s="39" t="e">
        <f>VLOOKUP('Time Tracking'!$D447,Lists!O:P,2,FALSE)</f>
        <v>#N/A</v>
      </c>
      <c r="M447" s="51" t="e">
        <f>VLOOKUP(C447,Lists!$R$1:$S$15,2,FALSE)</f>
        <v>#N/A</v>
      </c>
      <c r="N447" s="37"/>
    </row>
    <row r="448" spans="1:14" s="24" customFormat="1" x14ac:dyDescent="0.25">
      <c r="A448" s="32"/>
      <c r="B448" s="33"/>
      <c r="C448" s="33"/>
      <c r="D448" s="33"/>
      <c r="E448" s="44" t="e">
        <f>VLOOKUP(A448,Lists!$U$1:$V$121,2,FALSE)</f>
        <v>#N/A</v>
      </c>
      <c r="F448" s="34"/>
      <c r="G448" s="35"/>
      <c r="H448" s="35"/>
      <c r="I448" s="48">
        <f t="shared" si="6"/>
        <v>0</v>
      </c>
      <c r="J448" s="36"/>
      <c r="K448" s="36"/>
      <c r="L448" s="39" t="e">
        <f>VLOOKUP('Time Tracking'!$D448,Lists!O:P,2,FALSE)</f>
        <v>#N/A</v>
      </c>
      <c r="M448" s="51" t="e">
        <f>VLOOKUP(C448,Lists!$R$1:$S$15,2,FALSE)</f>
        <v>#N/A</v>
      </c>
      <c r="N448" s="37"/>
    </row>
    <row r="449" spans="1:14" s="24" customFormat="1" x14ac:dyDescent="0.25">
      <c r="A449" s="32"/>
      <c r="B449" s="33"/>
      <c r="C449" s="33"/>
      <c r="D449" s="33"/>
      <c r="E449" s="44" t="e">
        <f>VLOOKUP(A449,Lists!$U$1:$V$121,2,FALSE)</f>
        <v>#N/A</v>
      </c>
      <c r="F449" s="34"/>
      <c r="G449" s="35"/>
      <c r="H449" s="35"/>
      <c r="I449" s="48">
        <f t="shared" si="6"/>
        <v>0</v>
      </c>
      <c r="J449" s="36"/>
      <c r="K449" s="36"/>
      <c r="L449" s="39" t="e">
        <f>VLOOKUP('Time Tracking'!$D449,Lists!O:P,2,FALSE)</f>
        <v>#N/A</v>
      </c>
      <c r="M449" s="51" t="e">
        <f>VLOOKUP(C449,Lists!$R$1:$S$15,2,FALSE)</f>
        <v>#N/A</v>
      </c>
      <c r="N449" s="37"/>
    </row>
    <row r="450" spans="1:14" s="24" customFormat="1" x14ac:dyDescent="0.25">
      <c r="A450" s="32"/>
      <c r="B450" s="33"/>
      <c r="C450" s="33"/>
      <c r="D450" s="33"/>
      <c r="E450" s="44" t="e">
        <f>VLOOKUP(A450,Lists!$U$1:$V$121,2,FALSE)</f>
        <v>#N/A</v>
      </c>
      <c r="F450" s="34"/>
      <c r="G450" s="35"/>
      <c r="H450" s="35"/>
      <c r="I450" s="48">
        <f t="shared" ref="I450:I513" si="7">(IFERROR(TEXT(H450-G450,"h:mm"),"0:00"))*24</f>
        <v>0</v>
      </c>
      <c r="J450" s="36"/>
      <c r="K450" s="36"/>
      <c r="L450" s="39" t="e">
        <f>VLOOKUP('Time Tracking'!$D450,Lists!O:P,2,FALSE)</f>
        <v>#N/A</v>
      </c>
      <c r="M450" s="51" t="e">
        <f>VLOOKUP(C450,Lists!$R$1:$S$15,2,FALSE)</f>
        <v>#N/A</v>
      </c>
      <c r="N450" s="37"/>
    </row>
    <row r="451" spans="1:14" s="24" customFormat="1" x14ac:dyDescent="0.25">
      <c r="A451" s="32"/>
      <c r="B451" s="33"/>
      <c r="C451" s="33"/>
      <c r="D451" s="33"/>
      <c r="E451" s="44" t="e">
        <f>VLOOKUP(A451,Lists!$U$1:$V$121,2,FALSE)</f>
        <v>#N/A</v>
      </c>
      <c r="F451" s="34"/>
      <c r="G451" s="35"/>
      <c r="H451" s="35"/>
      <c r="I451" s="48">
        <f t="shared" si="7"/>
        <v>0</v>
      </c>
      <c r="J451" s="36"/>
      <c r="K451" s="36"/>
      <c r="L451" s="39" t="e">
        <f>VLOOKUP('Time Tracking'!$D451,Lists!O:P,2,FALSE)</f>
        <v>#N/A</v>
      </c>
      <c r="M451" s="51" t="e">
        <f>VLOOKUP(C451,Lists!$R$1:$S$15,2,FALSE)</f>
        <v>#N/A</v>
      </c>
      <c r="N451" s="37"/>
    </row>
    <row r="452" spans="1:14" s="24" customFormat="1" x14ac:dyDescent="0.25">
      <c r="A452" s="32"/>
      <c r="B452" s="33"/>
      <c r="C452" s="33"/>
      <c r="D452" s="33"/>
      <c r="E452" s="44" t="e">
        <f>VLOOKUP(A452,Lists!$U$1:$V$121,2,FALSE)</f>
        <v>#N/A</v>
      </c>
      <c r="F452" s="34"/>
      <c r="G452" s="35"/>
      <c r="H452" s="35"/>
      <c r="I452" s="48">
        <f t="shared" si="7"/>
        <v>0</v>
      </c>
      <c r="J452" s="36"/>
      <c r="K452" s="36"/>
      <c r="L452" s="39" t="e">
        <f>VLOOKUP('Time Tracking'!$D452,Lists!O:P,2,FALSE)</f>
        <v>#N/A</v>
      </c>
      <c r="M452" s="51" t="e">
        <f>VLOOKUP(C452,Lists!$R$1:$S$15,2,FALSE)</f>
        <v>#N/A</v>
      </c>
      <c r="N452" s="37"/>
    </row>
    <row r="453" spans="1:14" s="24" customFormat="1" x14ac:dyDescent="0.25">
      <c r="A453" s="32"/>
      <c r="B453" s="33"/>
      <c r="C453" s="33"/>
      <c r="D453" s="33"/>
      <c r="E453" s="44" t="e">
        <f>VLOOKUP(A453,Lists!$U$1:$V$121,2,FALSE)</f>
        <v>#N/A</v>
      </c>
      <c r="F453" s="34"/>
      <c r="G453" s="35"/>
      <c r="H453" s="35"/>
      <c r="I453" s="48">
        <f t="shared" si="7"/>
        <v>0</v>
      </c>
      <c r="J453" s="36"/>
      <c r="K453" s="36"/>
      <c r="L453" s="39" t="e">
        <f>VLOOKUP('Time Tracking'!$D453,Lists!O:P,2,FALSE)</f>
        <v>#N/A</v>
      </c>
      <c r="M453" s="51" t="e">
        <f>VLOOKUP(C453,Lists!$R$1:$S$15,2,FALSE)</f>
        <v>#N/A</v>
      </c>
      <c r="N453" s="37"/>
    </row>
    <row r="454" spans="1:14" s="24" customFormat="1" x14ac:dyDescent="0.25">
      <c r="A454" s="32"/>
      <c r="B454" s="33"/>
      <c r="C454" s="33"/>
      <c r="D454" s="33"/>
      <c r="E454" s="44" t="e">
        <f>VLOOKUP(A454,Lists!$U$1:$V$121,2,FALSE)</f>
        <v>#N/A</v>
      </c>
      <c r="F454" s="34"/>
      <c r="G454" s="35"/>
      <c r="H454" s="35"/>
      <c r="I454" s="48">
        <f t="shared" si="7"/>
        <v>0</v>
      </c>
      <c r="J454" s="36"/>
      <c r="K454" s="36"/>
      <c r="L454" s="39" t="e">
        <f>VLOOKUP('Time Tracking'!$D454,Lists!O:P,2,FALSE)</f>
        <v>#N/A</v>
      </c>
      <c r="M454" s="51" t="e">
        <f>VLOOKUP(C454,Lists!$R$1:$S$15,2,FALSE)</f>
        <v>#N/A</v>
      </c>
      <c r="N454" s="37"/>
    </row>
    <row r="455" spans="1:14" s="24" customFormat="1" x14ac:dyDescent="0.25">
      <c r="A455" s="32"/>
      <c r="B455" s="33"/>
      <c r="C455" s="33"/>
      <c r="D455" s="33"/>
      <c r="E455" s="44" t="e">
        <f>VLOOKUP(A455,Lists!$U$1:$V$121,2,FALSE)</f>
        <v>#N/A</v>
      </c>
      <c r="F455" s="34"/>
      <c r="G455" s="35"/>
      <c r="H455" s="35"/>
      <c r="I455" s="48">
        <f t="shared" si="7"/>
        <v>0</v>
      </c>
      <c r="J455" s="36"/>
      <c r="K455" s="36"/>
      <c r="L455" s="39" t="e">
        <f>VLOOKUP('Time Tracking'!$D455,Lists!O:P,2,FALSE)</f>
        <v>#N/A</v>
      </c>
      <c r="M455" s="51" t="e">
        <f>VLOOKUP(C455,Lists!$R$1:$S$15,2,FALSE)</f>
        <v>#N/A</v>
      </c>
      <c r="N455" s="37"/>
    </row>
    <row r="456" spans="1:14" s="24" customFormat="1" x14ac:dyDescent="0.25">
      <c r="A456" s="32"/>
      <c r="B456" s="33"/>
      <c r="C456" s="33"/>
      <c r="D456" s="33"/>
      <c r="E456" s="44" t="e">
        <f>VLOOKUP(A456,Lists!$U$1:$V$121,2,FALSE)</f>
        <v>#N/A</v>
      </c>
      <c r="F456" s="34"/>
      <c r="G456" s="35"/>
      <c r="H456" s="35"/>
      <c r="I456" s="48">
        <f t="shared" si="7"/>
        <v>0</v>
      </c>
      <c r="J456" s="36"/>
      <c r="K456" s="36"/>
      <c r="L456" s="39" t="e">
        <f>VLOOKUP('Time Tracking'!$D456,Lists!O:P,2,FALSE)</f>
        <v>#N/A</v>
      </c>
      <c r="M456" s="51" t="e">
        <f>VLOOKUP(C456,Lists!$R$1:$S$15,2,FALSE)</f>
        <v>#N/A</v>
      </c>
      <c r="N456" s="37"/>
    </row>
    <row r="457" spans="1:14" s="24" customFormat="1" x14ac:dyDescent="0.25">
      <c r="A457" s="32"/>
      <c r="B457" s="33"/>
      <c r="C457" s="33"/>
      <c r="D457" s="33"/>
      <c r="E457" s="44" t="e">
        <f>VLOOKUP(A457,Lists!$U$1:$V$121,2,FALSE)</f>
        <v>#N/A</v>
      </c>
      <c r="F457" s="34"/>
      <c r="G457" s="35"/>
      <c r="H457" s="35"/>
      <c r="I457" s="48">
        <f t="shared" si="7"/>
        <v>0</v>
      </c>
      <c r="J457" s="36"/>
      <c r="K457" s="36"/>
      <c r="L457" s="39" t="e">
        <f>VLOOKUP('Time Tracking'!$D457,Lists!O:P,2,FALSE)</f>
        <v>#N/A</v>
      </c>
      <c r="M457" s="51" t="e">
        <f>VLOOKUP(C457,Lists!$R$1:$S$15,2,FALSE)</f>
        <v>#N/A</v>
      </c>
      <c r="N457" s="37"/>
    </row>
    <row r="458" spans="1:14" s="24" customFormat="1" x14ac:dyDescent="0.25">
      <c r="A458" s="32"/>
      <c r="B458" s="33"/>
      <c r="C458" s="33"/>
      <c r="D458" s="33"/>
      <c r="E458" s="44" t="e">
        <f>VLOOKUP(A458,Lists!$U$1:$V$121,2,FALSE)</f>
        <v>#N/A</v>
      </c>
      <c r="F458" s="34"/>
      <c r="G458" s="35"/>
      <c r="H458" s="35"/>
      <c r="I458" s="48">
        <f t="shared" si="7"/>
        <v>0</v>
      </c>
      <c r="J458" s="36"/>
      <c r="K458" s="36"/>
      <c r="L458" s="39" t="e">
        <f>VLOOKUP('Time Tracking'!$D458,Lists!O:P,2,FALSE)</f>
        <v>#N/A</v>
      </c>
      <c r="M458" s="51" t="e">
        <f>VLOOKUP(C458,Lists!$R$1:$S$15,2,FALSE)</f>
        <v>#N/A</v>
      </c>
      <c r="N458" s="37"/>
    </row>
    <row r="459" spans="1:14" s="24" customFormat="1" x14ac:dyDescent="0.25">
      <c r="A459" s="32"/>
      <c r="B459" s="33"/>
      <c r="C459" s="33"/>
      <c r="D459" s="33"/>
      <c r="E459" s="44" t="e">
        <f>VLOOKUP(A459,Lists!$U$1:$V$121,2,FALSE)</f>
        <v>#N/A</v>
      </c>
      <c r="F459" s="34"/>
      <c r="G459" s="35"/>
      <c r="H459" s="35"/>
      <c r="I459" s="48">
        <f t="shared" si="7"/>
        <v>0</v>
      </c>
      <c r="J459" s="36"/>
      <c r="K459" s="36"/>
      <c r="L459" s="39" t="e">
        <f>VLOOKUP('Time Tracking'!$D459,Lists!O:P,2,FALSE)</f>
        <v>#N/A</v>
      </c>
      <c r="M459" s="51" t="e">
        <f>VLOOKUP(C459,Lists!$R$1:$S$15,2,FALSE)</f>
        <v>#N/A</v>
      </c>
      <c r="N459" s="37"/>
    </row>
    <row r="460" spans="1:14" s="24" customFormat="1" x14ac:dyDescent="0.25">
      <c r="A460" s="32"/>
      <c r="B460" s="33"/>
      <c r="C460" s="33"/>
      <c r="D460" s="33"/>
      <c r="E460" s="44" t="e">
        <f>VLOOKUP(A460,Lists!$U$1:$V$121,2,FALSE)</f>
        <v>#N/A</v>
      </c>
      <c r="F460" s="34"/>
      <c r="G460" s="35"/>
      <c r="H460" s="35"/>
      <c r="I460" s="48">
        <f t="shared" si="7"/>
        <v>0</v>
      </c>
      <c r="J460" s="36"/>
      <c r="K460" s="36"/>
      <c r="L460" s="39" t="e">
        <f>VLOOKUP('Time Tracking'!$D460,Lists!O:P,2,FALSE)</f>
        <v>#N/A</v>
      </c>
      <c r="M460" s="51" t="e">
        <f>VLOOKUP(C460,Lists!$R$1:$S$15,2,FALSE)</f>
        <v>#N/A</v>
      </c>
      <c r="N460" s="37"/>
    </row>
    <row r="461" spans="1:14" s="24" customFormat="1" x14ac:dyDescent="0.25">
      <c r="A461" s="32"/>
      <c r="B461" s="33"/>
      <c r="C461" s="33"/>
      <c r="D461" s="33"/>
      <c r="E461" s="44" t="e">
        <f>VLOOKUP(A461,Lists!$U$1:$V$121,2,FALSE)</f>
        <v>#N/A</v>
      </c>
      <c r="F461" s="34"/>
      <c r="G461" s="35"/>
      <c r="H461" s="35"/>
      <c r="I461" s="48">
        <f t="shared" si="7"/>
        <v>0</v>
      </c>
      <c r="J461" s="36"/>
      <c r="K461" s="36"/>
      <c r="L461" s="39" t="e">
        <f>VLOOKUP('Time Tracking'!$D461,Lists!O:P,2,FALSE)</f>
        <v>#N/A</v>
      </c>
      <c r="M461" s="51" t="e">
        <f>VLOOKUP(C461,Lists!$R$1:$S$15,2,FALSE)</f>
        <v>#N/A</v>
      </c>
      <c r="N461" s="37"/>
    </row>
    <row r="462" spans="1:14" s="24" customFormat="1" x14ac:dyDescent="0.25">
      <c r="A462" s="32"/>
      <c r="B462" s="33"/>
      <c r="C462" s="33"/>
      <c r="D462" s="33"/>
      <c r="E462" s="44" t="e">
        <f>VLOOKUP(A462,Lists!$U$1:$V$121,2,FALSE)</f>
        <v>#N/A</v>
      </c>
      <c r="F462" s="34"/>
      <c r="G462" s="35"/>
      <c r="H462" s="35"/>
      <c r="I462" s="48">
        <f t="shared" si="7"/>
        <v>0</v>
      </c>
      <c r="J462" s="36"/>
      <c r="K462" s="36"/>
      <c r="L462" s="39" t="e">
        <f>VLOOKUP('Time Tracking'!$D462,Lists!O:P,2,FALSE)</f>
        <v>#N/A</v>
      </c>
      <c r="M462" s="51" t="e">
        <f>VLOOKUP(C462,Lists!$R$1:$S$15,2,FALSE)</f>
        <v>#N/A</v>
      </c>
      <c r="N462" s="37"/>
    </row>
    <row r="463" spans="1:14" s="24" customFormat="1" x14ac:dyDescent="0.25">
      <c r="A463" s="32"/>
      <c r="B463" s="33"/>
      <c r="C463" s="33"/>
      <c r="D463" s="33"/>
      <c r="E463" s="44" t="e">
        <f>VLOOKUP(A463,Lists!$U$1:$V$121,2,FALSE)</f>
        <v>#N/A</v>
      </c>
      <c r="F463" s="34"/>
      <c r="G463" s="35"/>
      <c r="H463" s="35"/>
      <c r="I463" s="48">
        <f t="shared" si="7"/>
        <v>0</v>
      </c>
      <c r="J463" s="36"/>
      <c r="K463" s="36"/>
      <c r="L463" s="39" t="e">
        <f>VLOOKUP('Time Tracking'!$D463,Lists!O:P,2,FALSE)</f>
        <v>#N/A</v>
      </c>
      <c r="M463" s="51" t="e">
        <f>VLOOKUP(C463,Lists!$R$1:$S$15,2,FALSE)</f>
        <v>#N/A</v>
      </c>
      <c r="N463" s="37"/>
    </row>
    <row r="464" spans="1:14" s="24" customFormat="1" x14ac:dyDescent="0.25">
      <c r="A464" s="32"/>
      <c r="B464" s="33"/>
      <c r="C464" s="33"/>
      <c r="D464" s="33"/>
      <c r="E464" s="44" t="e">
        <f>VLOOKUP(A464,Lists!$U$1:$V$121,2,FALSE)</f>
        <v>#N/A</v>
      </c>
      <c r="F464" s="34"/>
      <c r="G464" s="35"/>
      <c r="H464" s="35"/>
      <c r="I464" s="48">
        <f t="shared" si="7"/>
        <v>0</v>
      </c>
      <c r="J464" s="36"/>
      <c r="K464" s="36"/>
      <c r="L464" s="39" t="e">
        <f>VLOOKUP('Time Tracking'!$D464,Lists!O:P,2,FALSE)</f>
        <v>#N/A</v>
      </c>
      <c r="M464" s="51" t="e">
        <f>VLOOKUP(C464,Lists!$R$1:$S$15,2,FALSE)</f>
        <v>#N/A</v>
      </c>
      <c r="N464" s="37"/>
    </row>
    <row r="465" spans="1:14" s="24" customFormat="1" x14ac:dyDescent="0.25">
      <c r="A465" s="32"/>
      <c r="B465" s="33"/>
      <c r="C465" s="33"/>
      <c r="D465" s="33"/>
      <c r="E465" s="44" t="e">
        <f>VLOOKUP(A465,Lists!$U$1:$V$121,2,FALSE)</f>
        <v>#N/A</v>
      </c>
      <c r="F465" s="34"/>
      <c r="G465" s="35"/>
      <c r="H465" s="35"/>
      <c r="I465" s="48">
        <f t="shared" si="7"/>
        <v>0</v>
      </c>
      <c r="J465" s="36"/>
      <c r="K465" s="36"/>
      <c r="L465" s="39" t="e">
        <f>VLOOKUP('Time Tracking'!$D465,Lists!O:P,2,FALSE)</f>
        <v>#N/A</v>
      </c>
      <c r="M465" s="51" t="e">
        <f>VLOOKUP(C465,Lists!$R$1:$S$15,2,FALSE)</f>
        <v>#N/A</v>
      </c>
      <c r="N465" s="37"/>
    </row>
    <row r="466" spans="1:14" s="24" customFormat="1" x14ac:dyDescent="0.25">
      <c r="A466" s="32"/>
      <c r="B466" s="33"/>
      <c r="C466" s="33"/>
      <c r="D466" s="33"/>
      <c r="E466" s="44" t="e">
        <f>VLOOKUP(A466,Lists!$U$1:$V$121,2,FALSE)</f>
        <v>#N/A</v>
      </c>
      <c r="F466" s="34"/>
      <c r="G466" s="35"/>
      <c r="H466" s="35"/>
      <c r="I466" s="48">
        <f t="shared" si="7"/>
        <v>0</v>
      </c>
      <c r="J466" s="36"/>
      <c r="K466" s="36"/>
      <c r="L466" s="39" t="e">
        <f>VLOOKUP('Time Tracking'!$D466,Lists!O:P,2,FALSE)</f>
        <v>#N/A</v>
      </c>
      <c r="M466" s="51" t="e">
        <f>VLOOKUP(C466,Lists!$R$1:$S$15,2,FALSE)</f>
        <v>#N/A</v>
      </c>
      <c r="N466" s="37"/>
    </row>
    <row r="467" spans="1:14" s="24" customFormat="1" x14ac:dyDescent="0.25">
      <c r="A467" s="32"/>
      <c r="B467" s="33"/>
      <c r="C467" s="33"/>
      <c r="D467" s="33"/>
      <c r="E467" s="44" t="e">
        <f>VLOOKUP(A467,Lists!$U$1:$V$121,2,FALSE)</f>
        <v>#N/A</v>
      </c>
      <c r="F467" s="34"/>
      <c r="G467" s="35"/>
      <c r="H467" s="35"/>
      <c r="I467" s="48">
        <f t="shared" si="7"/>
        <v>0</v>
      </c>
      <c r="J467" s="36"/>
      <c r="K467" s="36"/>
      <c r="L467" s="39" t="e">
        <f>VLOOKUP('Time Tracking'!$D467,Lists!O:P,2,FALSE)</f>
        <v>#N/A</v>
      </c>
      <c r="M467" s="51" t="e">
        <f>VLOOKUP(C467,Lists!$R$1:$S$15,2,FALSE)</f>
        <v>#N/A</v>
      </c>
      <c r="N467" s="37"/>
    </row>
    <row r="468" spans="1:14" s="24" customFormat="1" x14ac:dyDescent="0.25">
      <c r="A468" s="32"/>
      <c r="B468" s="33"/>
      <c r="C468" s="33"/>
      <c r="D468" s="33"/>
      <c r="E468" s="44" t="e">
        <f>VLOOKUP(A468,Lists!$U$1:$V$121,2,FALSE)</f>
        <v>#N/A</v>
      </c>
      <c r="F468" s="34"/>
      <c r="G468" s="35"/>
      <c r="H468" s="35"/>
      <c r="I468" s="48">
        <f t="shared" si="7"/>
        <v>0</v>
      </c>
      <c r="J468" s="36"/>
      <c r="K468" s="36"/>
      <c r="L468" s="39" t="e">
        <f>VLOOKUP('Time Tracking'!$D468,Lists!O:P,2,FALSE)</f>
        <v>#N/A</v>
      </c>
      <c r="M468" s="51" t="e">
        <f>VLOOKUP(C468,Lists!$R$1:$S$15,2,FALSE)</f>
        <v>#N/A</v>
      </c>
      <c r="N468" s="37"/>
    </row>
    <row r="469" spans="1:14" s="24" customFormat="1" x14ac:dyDescent="0.25">
      <c r="A469" s="32"/>
      <c r="B469" s="33"/>
      <c r="C469" s="33"/>
      <c r="D469" s="33"/>
      <c r="E469" s="44" t="e">
        <f>VLOOKUP(A469,Lists!$U$1:$V$121,2,FALSE)</f>
        <v>#N/A</v>
      </c>
      <c r="F469" s="34"/>
      <c r="G469" s="35"/>
      <c r="H469" s="35"/>
      <c r="I469" s="48">
        <f t="shared" si="7"/>
        <v>0</v>
      </c>
      <c r="J469" s="36"/>
      <c r="K469" s="36"/>
      <c r="L469" s="39" t="e">
        <f>VLOOKUP('Time Tracking'!$D469,Lists!O:P,2,FALSE)</f>
        <v>#N/A</v>
      </c>
      <c r="M469" s="51" t="e">
        <f>VLOOKUP(C469,Lists!$R$1:$S$15,2,FALSE)</f>
        <v>#N/A</v>
      </c>
      <c r="N469" s="37"/>
    </row>
    <row r="470" spans="1:14" s="24" customFormat="1" x14ac:dyDescent="0.25">
      <c r="A470" s="32"/>
      <c r="B470" s="33"/>
      <c r="C470" s="33"/>
      <c r="D470" s="33"/>
      <c r="E470" s="44" t="e">
        <f>VLOOKUP(A470,Lists!$U$1:$V$121,2,FALSE)</f>
        <v>#N/A</v>
      </c>
      <c r="F470" s="34"/>
      <c r="G470" s="35"/>
      <c r="H470" s="35"/>
      <c r="I470" s="48">
        <f t="shared" si="7"/>
        <v>0</v>
      </c>
      <c r="J470" s="36"/>
      <c r="K470" s="36"/>
      <c r="L470" s="39" t="e">
        <f>VLOOKUP('Time Tracking'!$D470,Lists!O:P,2,FALSE)</f>
        <v>#N/A</v>
      </c>
      <c r="M470" s="51" t="e">
        <f>VLOOKUP(C470,Lists!$R$1:$S$15,2,FALSE)</f>
        <v>#N/A</v>
      </c>
      <c r="N470" s="37"/>
    </row>
    <row r="471" spans="1:14" s="24" customFormat="1" x14ac:dyDescent="0.25">
      <c r="A471" s="32"/>
      <c r="B471" s="33"/>
      <c r="C471" s="33"/>
      <c r="D471" s="33"/>
      <c r="E471" s="44" t="e">
        <f>VLOOKUP(A471,Lists!$U$1:$V$121,2,FALSE)</f>
        <v>#N/A</v>
      </c>
      <c r="F471" s="34"/>
      <c r="G471" s="35"/>
      <c r="H471" s="35"/>
      <c r="I471" s="48">
        <f t="shared" si="7"/>
        <v>0</v>
      </c>
      <c r="J471" s="36"/>
      <c r="K471" s="36"/>
      <c r="L471" s="39" t="e">
        <f>VLOOKUP('Time Tracking'!$D471,Lists!O:P,2,FALSE)</f>
        <v>#N/A</v>
      </c>
      <c r="M471" s="51" t="e">
        <f>VLOOKUP(C471,Lists!$R$1:$S$15,2,FALSE)</f>
        <v>#N/A</v>
      </c>
      <c r="N471" s="37"/>
    </row>
    <row r="472" spans="1:14" s="24" customFormat="1" x14ac:dyDescent="0.25">
      <c r="A472" s="32"/>
      <c r="B472" s="33"/>
      <c r="C472" s="33"/>
      <c r="D472" s="33"/>
      <c r="E472" s="44" t="e">
        <f>VLOOKUP(A472,Lists!$U$1:$V$121,2,FALSE)</f>
        <v>#N/A</v>
      </c>
      <c r="F472" s="34"/>
      <c r="G472" s="35"/>
      <c r="H472" s="35"/>
      <c r="I472" s="48">
        <f t="shared" si="7"/>
        <v>0</v>
      </c>
      <c r="J472" s="36"/>
      <c r="K472" s="36"/>
      <c r="L472" s="39" t="e">
        <f>VLOOKUP('Time Tracking'!$D472,Lists!O:P,2,FALSE)</f>
        <v>#N/A</v>
      </c>
      <c r="M472" s="51" t="e">
        <f>VLOOKUP(C472,Lists!$R$1:$S$15,2,FALSE)</f>
        <v>#N/A</v>
      </c>
      <c r="N472" s="37"/>
    </row>
    <row r="473" spans="1:14" s="24" customFormat="1" x14ac:dyDescent="0.25">
      <c r="A473" s="32"/>
      <c r="B473" s="33"/>
      <c r="C473" s="33"/>
      <c r="D473" s="33"/>
      <c r="E473" s="44" t="e">
        <f>VLOOKUP(A473,Lists!$U$1:$V$121,2,FALSE)</f>
        <v>#N/A</v>
      </c>
      <c r="F473" s="34"/>
      <c r="G473" s="35"/>
      <c r="H473" s="35"/>
      <c r="I473" s="48">
        <f t="shared" si="7"/>
        <v>0</v>
      </c>
      <c r="J473" s="36"/>
      <c r="K473" s="36"/>
      <c r="L473" s="39" t="e">
        <f>VLOOKUP('Time Tracking'!$D473,Lists!O:P,2,FALSE)</f>
        <v>#N/A</v>
      </c>
      <c r="M473" s="51" t="e">
        <f>VLOOKUP(C473,Lists!$R$1:$S$15,2,FALSE)</f>
        <v>#N/A</v>
      </c>
      <c r="N473" s="37"/>
    </row>
    <row r="474" spans="1:14" s="24" customFormat="1" x14ac:dyDescent="0.25">
      <c r="A474" s="32"/>
      <c r="B474" s="33"/>
      <c r="C474" s="33"/>
      <c r="D474" s="33"/>
      <c r="E474" s="44" t="e">
        <f>VLOOKUP(A474,Lists!$U$1:$V$121,2,FALSE)</f>
        <v>#N/A</v>
      </c>
      <c r="F474" s="34"/>
      <c r="G474" s="35"/>
      <c r="H474" s="35"/>
      <c r="I474" s="48">
        <f t="shared" si="7"/>
        <v>0</v>
      </c>
      <c r="J474" s="36"/>
      <c r="K474" s="36"/>
      <c r="L474" s="39" t="e">
        <f>VLOOKUP('Time Tracking'!$D474,Lists!O:P,2,FALSE)</f>
        <v>#N/A</v>
      </c>
      <c r="M474" s="51" t="e">
        <f>VLOOKUP(C474,Lists!$R$1:$S$15,2,FALSE)</f>
        <v>#N/A</v>
      </c>
      <c r="N474" s="37"/>
    </row>
    <row r="475" spans="1:14" s="24" customFormat="1" x14ac:dyDescent="0.25">
      <c r="A475" s="32"/>
      <c r="B475" s="33"/>
      <c r="C475" s="33"/>
      <c r="D475" s="33"/>
      <c r="E475" s="44" t="e">
        <f>VLOOKUP(A475,Lists!$U$1:$V$121,2,FALSE)</f>
        <v>#N/A</v>
      </c>
      <c r="F475" s="34"/>
      <c r="G475" s="35"/>
      <c r="H475" s="35"/>
      <c r="I475" s="48">
        <f t="shared" si="7"/>
        <v>0</v>
      </c>
      <c r="J475" s="36"/>
      <c r="K475" s="36"/>
      <c r="L475" s="39" t="e">
        <f>VLOOKUP('Time Tracking'!$D475,Lists!O:P,2,FALSE)</f>
        <v>#N/A</v>
      </c>
      <c r="M475" s="51" t="e">
        <f>VLOOKUP(C475,Lists!$R$1:$S$15,2,FALSE)</f>
        <v>#N/A</v>
      </c>
      <c r="N475" s="37"/>
    </row>
    <row r="476" spans="1:14" s="24" customFormat="1" x14ac:dyDescent="0.25">
      <c r="A476" s="32"/>
      <c r="B476" s="33"/>
      <c r="C476" s="33"/>
      <c r="D476" s="33"/>
      <c r="E476" s="44" t="e">
        <f>VLOOKUP(A476,Lists!$U$1:$V$121,2,FALSE)</f>
        <v>#N/A</v>
      </c>
      <c r="F476" s="34"/>
      <c r="G476" s="35"/>
      <c r="H476" s="35"/>
      <c r="I476" s="48">
        <f t="shared" si="7"/>
        <v>0</v>
      </c>
      <c r="J476" s="36"/>
      <c r="K476" s="36"/>
      <c r="L476" s="39" t="e">
        <f>VLOOKUP('Time Tracking'!$D476,Lists!O:P,2,FALSE)</f>
        <v>#N/A</v>
      </c>
      <c r="M476" s="51" t="e">
        <f>VLOOKUP(C476,Lists!$R$1:$S$15,2,FALSE)</f>
        <v>#N/A</v>
      </c>
      <c r="N476" s="37"/>
    </row>
    <row r="477" spans="1:14" s="24" customFormat="1" x14ac:dyDescent="0.25">
      <c r="A477" s="32"/>
      <c r="B477" s="33"/>
      <c r="C477" s="33"/>
      <c r="D477" s="33"/>
      <c r="E477" s="44" t="e">
        <f>VLOOKUP(A477,Lists!$U$1:$V$121,2,FALSE)</f>
        <v>#N/A</v>
      </c>
      <c r="F477" s="34"/>
      <c r="G477" s="35"/>
      <c r="H477" s="35"/>
      <c r="I477" s="48">
        <f t="shared" si="7"/>
        <v>0</v>
      </c>
      <c r="J477" s="36"/>
      <c r="K477" s="36"/>
      <c r="L477" s="39" t="e">
        <f>VLOOKUP('Time Tracking'!$D477,Lists!O:P,2,FALSE)</f>
        <v>#N/A</v>
      </c>
      <c r="M477" s="51" t="e">
        <f>VLOOKUP(C477,Lists!$R$1:$S$15,2,FALSE)</f>
        <v>#N/A</v>
      </c>
      <c r="N477" s="37"/>
    </row>
    <row r="478" spans="1:14" s="24" customFormat="1" x14ac:dyDescent="0.25">
      <c r="A478" s="32"/>
      <c r="B478" s="33"/>
      <c r="C478" s="33"/>
      <c r="D478" s="33"/>
      <c r="E478" s="44" t="e">
        <f>VLOOKUP(A478,Lists!$U$1:$V$121,2,FALSE)</f>
        <v>#N/A</v>
      </c>
      <c r="F478" s="34"/>
      <c r="G478" s="35"/>
      <c r="H478" s="35"/>
      <c r="I478" s="48">
        <f t="shared" si="7"/>
        <v>0</v>
      </c>
      <c r="J478" s="36"/>
      <c r="K478" s="36"/>
      <c r="L478" s="39" t="e">
        <f>VLOOKUP('Time Tracking'!$D478,Lists!O:P,2,FALSE)</f>
        <v>#N/A</v>
      </c>
      <c r="M478" s="51" t="e">
        <f>VLOOKUP(C478,Lists!$R$1:$S$15,2,FALSE)</f>
        <v>#N/A</v>
      </c>
      <c r="N478" s="37"/>
    </row>
    <row r="479" spans="1:14" s="24" customFormat="1" x14ac:dyDescent="0.25">
      <c r="A479" s="32"/>
      <c r="B479" s="33"/>
      <c r="C479" s="33"/>
      <c r="D479" s="33"/>
      <c r="E479" s="44" t="e">
        <f>VLOOKUP(A479,Lists!$U$1:$V$121,2,FALSE)</f>
        <v>#N/A</v>
      </c>
      <c r="F479" s="34"/>
      <c r="G479" s="35"/>
      <c r="H479" s="35"/>
      <c r="I479" s="48">
        <f t="shared" si="7"/>
        <v>0</v>
      </c>
      <c r="J479" s="36"/>
      <c r="K479" s="36"/>
      <c r="L479" s="39" t="e">
        <f>VLOOKUP('Time Tracking'!$D479,Lists!O:P,2,FALSE)</f>
        <v>#N/A</v>
      </c>
      <c r="M479" s="51" t="e">
        <f>VLOOKUP(C479,Lists!$R$1:$S$15,2,FALSE)</f>
        <v>#N/A</v>
      </c>
      <c r="N479" s="37"/>
    </row>
    <row r="480" spans="1:14" s="24" customFormat="1" x14ac:dyDescent="0.25">
      <c r="A480" s="32"/>
      <c r="B480" s="33"/>
      <c r="C480" s="33"/>
      <c r="D480" s="33"/>
      <c r="E480" s="44" t="e">
        <f>VLOOKUP(A480,Lists!$U$1:$V$121,2,FALSE)</f>
        <v>#N/A</v>
      </c>
      <c r="F480" s="34"/>
      <c r="G480" s="35"/>
      <c r="H480" s="35"/>
      <c r="I480" s="48">
        <f t="shared" si="7"/>
        <v>0</v>
      </c>
      <c r="J480" s="36"/>
      <c r="K480" s="36"/>
      <c r="L480" s="39" t="e">
        <f>VLOOKUP('Time Tracking'!$D480,Lists!O:P,2,FALSE)</f>
        <v>#N/A</v>
      </c>
      <c r="M480" s="51" t="e">
        <f>VLOOKUP(C480,Lists!$R$1:$S$15,2,FALSE)</f>
        <v>#N/A</v>
      </c>
      <c r="N480" s="37"/>
    </row>
    <row r="481" spans="1:14" s="24" customFormat="1" x14ac:dyDescent="0.25">
      <c r="A481" s="32"/>
      <c r="B481" s="33"/>
      <c r="C481" s="33"/>
      <c r="D481" s="33"/>
      <c r="E481" s="44" t="e">
        <f>VLOOKUP(A481,Lists!$U$1:$V$121,2,FALSE)</f>
        <v>#N/A</v>
      </c>
      <c r="F481" s="34"/>
      <c r="G481" s="35"/>
      <c r="H481" s="35"/>
      <c r="I481" s="48">
        <f t="shared" si="7"/>
        <v>0</v>
      </c>
      <c r="J481" s="36"/>
      <c r="K481" s="36"/>
      <c r="L481" s="39" t="e">
        <f>VLOOKUP('Time Tracking'!$D481,Lists!O:P,2,FALSE)</f>
        <v>#N/A</v>
      </c>
      <c r="M481" s="51" t="e">
        <f>VLOOKUP(C481,Lists!$R$1:$S$15,2,FALSE)</f>
        <v>#N/A</v>
      </c>
      <c r="N481" s="37"/>
    </row>
    <row r="482" spans="1:14" s="24" customFormat="1" x14ac:dyDescent="0.25">
      <c r="A482" s="32"/>
      <c r="B482" s="33"/>
      <c r="C482" s="33"/>
      <c r="D482" s="33"/>
      <c r="E482" s="44" t="e">
        <f>VLOOKUP(A482,Lists!$U$1:$V$121,2,FALSE)</f>
        <v>#N/A</v>
      </c>
      <c r="F482" s="34"/>
      <c r="G482" s="35"/>
      <c r="H482" s="35"/>
      <c r="I482" s="48">
        <f t="shared" si="7"/>
        <v>0</v>
      </c>
      <c r="J482" s="36"/>
      <c r="K482" s="36"/>
      <c r="L482" s="39" t="e">
        <f>VLOOKUP('Time Tracking'!$D482,Lists!O:P,2,FALSE)</f>
        <v>#N/A</v>
      </c>
      <c r="M482" s="51" t="e">
        <f>VLOOKUP(C482,Lists!$R$1:$S$15,2,FALSE)</f>
        <v>#N/A</v>
      </c>
      <c r="N482" s="37"/>
    </row>
    <row r="483" spans="1:14" s="24" customFormat="1" x14ac:dyDescent="0.25">
      <c r="A483" s="32"/>
      <c r="B483" s="33"/>
      <c r="C483" s="33"/>
      <c r="D483" s="33"/>
      <c r="E483" s="44" t="e">
        <f>VLOOKUP(A483,Lists!$U$1:$V$121,2,FALSE)</f>
        <v>#N/A</v>
      </c>
      <c r="F483" s="34"/>
      <c r="G483" s="35"/>
      <c r="H483" s="35"/>
      <c r="I483" s="48">
        <f t="shared" si="7"/>
        <v>0</v>
      </c>
      <c r="J483" s="36"/>
      <c r="K483" s="36"/>
      <c r="L483" s="39" t="e">
        <f>VLOOKUP('Time Tracking'!$D483,Lists!O:P,2,FALSE)</f>
        <v>#N/A</v>
      </c>
      <c r="M483" s="51" t="e">
        <f>VLOOKUP(C483,Lists!$R$1:$S$15,2,FALSE)</f>
        <v>#N/A</v>
      </c>
      <c r="N483" s="37"/>
    </row>
    <row r="484" spans="1:14" s="24" customFormat="1" x14ac:dyDescent="0.25">
      <c r="A484" s="32"/>
      <c r="B484" s="33"/>
      <c r="C484" s="33"/>
      <c r="D484" s="33"/>
      <c r="E484" s="44" t="e">
        <f>VLOOKUP(A484,Lists!$U$1:$V$121,2,FALSE)</f>
        <v>#N/A</v>
      </c>
      <c r="F484" s="34"/>
      <c r="G484" s="35"/>
      <c r="H484" s="35"/>
      <c r="I484" s="48">
        <f t="shared" si="7"/>
        <v>0</v>
      </c>
      <c r="J484" s="36"/>
      <c r="K484" s="36"/>
      <c r="L484" s="39" t="e">
        <f>VLOOKUP('Time Tracking'!$D484,Lists!O:P,2,FALSE)</f>
        <v>#N/A</v>
      </c>
      <c r="M484" s="51" t="e">
        <f>VLOOKUP(C484,Lists!$R$1:$S$15,2,FALSE)</f>
        <v>#N/A</v>
      </c>
      <c r="N484" s="37"/>
    </row>
    <row r="485" spans="1:14" s="24" customFormat="1" x14ac:dyDescent="0.25">
      <c r="A485" s="32"/>
      <c r="B485" s="33"/>
      <c r="C485" s="33"/>
      <c r="D485" s="33"/>
      <c r="E485" s="44" t="e">
        <f>VLOOKUP(A485,Lists!$U$1:$V$121,2,FALSE)</f>
        <v>#N/A</v>
      </c>
      <c r="F485" s="34"/>
      <c r="G485" s="35"/>
      <c r="H485" s="35"/>
      <c r="I485" s="48">
        <f t="shared" si="7"/>
        <v>0</v>
      </c>
      <c r="J485" s="36"/>
      <c r="K485" s="36"/>
      <c r="L485" s="39" t="e">
        <f>VLOOKUP('Time Tracking'!$D485,Lists!O:P,2,FALSE)</f>
        <v>#N/A</v>
      </c>
      <c r="M485" s="51" t="e">
        <f>VLOOKUP(C485,Lists!$R$1:$S$15,2,FALSE)</f>
        <v>#N/A</v>
      </c>
      <c r="N485" s="37"/>
    </row>
    <row r="486" spans="1:14" s="24" customFormat="1" x14ac:dyDescent="0.25">
      <c r="A486" s="32"/>
      <c r="B486" s="33"/>
      <c r="C486" s="33"/>
      <c r="D486" s="33"/>
      <c r="E486" s="44" t="e">
        <f>VLOOKUP(A486,Lists!$U$1:$V$121,2,FALSE)</f>
        <v>#N/A</v>
      </c>
      <c r="F486" s="34"/>
      <c r="G486" s="35"/>
      <c r="H486" s="35"/>
      <c r="I486" s="48">
        <f t="shared" si="7"/>
        <v>0</v>
      </c>
      <c r="J486" s="36"/>
      <c r="K486" s="36"/>
      <c r="L486" s="39" t="e">
        <f>VLOOKUP('Time Tracking'!$D486,Lists!O:P,2,FALSE)</f>
        <v>#N/A</v>
      </c>
      <c r="M486" s="51" t="e">
        <f>VLOOKUP(C486,Lists!$R$1:$S$15,2,FALSE)</f>
        <v>#N/A</v>
      </c>
      <c r="N486" s="37"/>
    </row>
    <row r="487" spans="1:14" s="24" customFormat="1" x14ac:dyDescent="0.25">
      <c r="A487" s="32"/>
      <c r="B487" s="33"/>
      <c r="C487" s="33"/>
      <c r="D487" s="33"/>
      <c r="E487" s="44" t="e">
        <f>VLOOKUP(A487,Lists!$U$1:$V$121,2,FALSE)</f>
        <v>#N/A</v>
      </c>
      <c r="F487" s="34"/>
      <c r="G487" s="35"/>
      <c r="H487" s="35"/>
      <c r="I487" s="48">
        <f t="shared" si="7"/>
        <v>0</v>
      </c>
      <c r="J487" s="36"/>
      <c r="K487" s="36"/>
      <c r="L487" s="39" t="e">
        <f>VLOOKUP('Time Tracking'!$D487,Lists!O:P,2,FALSE)</f>
        <v>#N/A</v>
      </c>
      <c r="M487" s="51" t="e">
        <f>VLOOKUP(C487,Lists!$R$1:$S$15,2,FALSE)</f>
        <v>#N/A</v>
      </c>
      <c r="N487" s="37"/>
    </row>
    <row r="488" spans="1:14" s="24" customFormat="1" x14ac:dyDescent="0.25">
      <c r="A488" s="32"/>
      <c r="B488" s="33"/>
      <c r="C488" s="33"/>
      <c r="D488" s="33"/>
      <c r="E488" s="44" t="e">
        <f>VLOOKUP(A488,Lists!$U$1:$V$121,2,FALSE)</f>
        <v>#N/A</v>
      </c>
      <c r="F488" s="34"/>
      <c r="G488" s="35"/>
      <c r="H488" s="35"/>
      <c r="I488" s="48">
        <f t="shared" si="7"/>
        <v>0</v>
      </c>
      <c r="J488" s="36"/>
      <c r="K488" s="36"/>
      <c r="L488" s="39" t="e">
        <f>VLOOKUP('Time Tracking'!$D488,Lists!O:P,2,FALSE)</f>
        <v>#N/A</v>
      </c>
      <c r="M488" s="51" t="e">
        <f>VLOOKUP(C488,Lists!$R$1:$S$15,2,FALSE)</f>
        <v>#N/A</v>
      </c>
      <c r="N488" s="37"/>
    </row>
    <row r="489" spans="1:14" s="24" customFormat="1" x14ac:dyDescent="0.25">
      <c r="A489" s="32"/>
      <c r="B489" s="33"/>
      <c r="C489" s="33"/>
      <c r="D489" s="33"/>
      <c r="E489" s="44" t="e">
        <f>VLOOKUP(A489,Lists!$U$1:$V$121,2,FALSE)</f>
        <v>#N/A</v>
      </c>
      <c r="F489" s="34"/>
      <c r="G489" s="35"/>
      <c r="H489" s="35"/>
      <c r="I489" s="48">
        <f t="shared" si="7"/>
        <v>0</v>
      </c>
      <c r="J489" s="36"/>
      <c r="K489" s="36"/>
      <c r="L489" s="39" t="e">
        <f>VLOOKUP('Time Tracking'!$D489,Lists!O:P,2,FALSE)</f>
        <v>#N/A</v>
      </c>
      <c r="M489" s="51" t="e">
        <f>VLOOKUP(C489,Lists!$R$1:$S$15,2,FALSE)</f>
        <v>#N/A</v>
      </c>
      <c r="N489" s="37"/>
    </row>
    <row r="490" spans="1:14" s="24" customFormat="1" x14ac:dyDescent="0.25">
      <c r="A490" s="32"/>
      <c r="B490" s="33"/>
      <c r="C490" s="33"/>
      <c r="D490" s="33"/>
      <c r="E490" s="44" t="e">
        <f>VLOOKUP(A490,Lists!$U$1:$V$121,2,FALSE)</f>
        <v>#N/A</v>
      </c>
      <c r="F490" s="34"/>
      <c r="G490" s="35"/>
      <c r="H490" s="35"/>
      <c r="I490" s="48">
        <f t="shared" si="7"/>
        <v>0</v>
      </c>
      <c r="J490" s="36"/>
      <c r="K490" s="36"/>
      <c r="L490" s="39" t="e">
        <f>VLOOKUP('Time Tracking'!$D490,Lists!O:P,2,FALSE)</f>
        <v>#N/A</v>
      </c>
      <c r="M490" s="51" t="e">
        <f>VLOOKUP(C490,Lists!$R$1:$S$15,2,FALSE)</f>
        <v>#N/A</v>
      </c>
      <c r="N490" s="37"/>
    </row>
    <row r="491" spans="1:14" s="24" customFormat="1" x14ac:dyDescent="0.25">
      <c r="A491" s="32"/>
      <c r="B491" s="33"/>
      <c r="C491" s="33"/>
      <c r="D491" s="33"/>
      <c r="E491" s="44" t="e">
        <f>VLOOKUP(A491,Lists!$U$1:$V$121,2,FALSE)</f>
        <v>#N/A</v>
      </c>
      <c r="F491" s="34"/>
      <c r="G491" s="35"/>
      <c r="H491" s="35"/>
      <c r="I491" s="48">
        <f t="shared" si="7"/>
        <v>0</v>
      </c>
      <c r="J491" s="36"/>
      <c r="K491" s="36"/>
      <c r="L491" s="39" t="e">
        <f>VLOOKUP('Time Tracking'!$D491,Lists!O:P,2,FALSE)</f>
        <v>#N/A</v>
      </c>
      <c r="M491" s="51" t="e">
        <f>VLOOKUP(C491,Lists!$R$1:$S$15,2,FALSE)</f>
        <v>#N/A</v>
      </c>
      <c r="N491" s="37"/>
    </row>
    <row r="492" spans="1:14" s="24" customFormat="1" x14ac:dyDescent="0.25">
      <c r="A492" s="32"/>
      <c r="B492" s="33"/>
      <c r="C492" s="33"/>
      <c r="D492" s="33"/>
      <c r="E492" s="44" t="e">
        <f>VLOOKUP(A492,Lists!$U$1:$V$121,2,FALSE)</f>
        <v>#N/A</v>
      </c>
      <c r="F492" s="34"/>
      <c r="G492" s="35"/>
      <c r="H492" s="35"/>
      <c r="I492" s="48">
        <f t="shared" si="7"/>
        <v>0</v>
      </c>
      <c r="J492" s="36"/>
      <c r="K492" s="36"/>
      <c r="L492" s="39" t="e">
        <f>VLOOKUP('Time Tracking'!$D492,Lists!O:P,2,FALSE)</f>
        <v>#N/A</v>
      </c>
      <c r="M492" s="51" t="e">
        <f>VLOOKUP(C492,Lists!$R$1:$S$15,2,FALSE)</f>
        <v>#N/A</v>
      </c>
      <c r="N492" s="37"/>
    </row>
    <row r="493" spans="1:14" s="24" customFormat="1" x14ac:dyDescent="0.25">
      <c r="A493" s="32"/>
      <c r="B493" s="33"/>
      <c r="C493" s="33"/>
      <c r="D493" s="33"/>
      <c r="E493" s="44" t="e">
        <f>VLOOKUP(A493,Lists!$U$1:$V$121,2,FALSE)</f>
        <v>#N/A</v>
      </c>
      <c r="F493" s="34"/>
      <c r="G493" s="35"/>
      <c r="H493" s="35"/>
      <c r="I493" s="48">
        <f t="shared" si="7"/>
        <v>0</v>
      </c>
      <c r="J493" s="36"/>
      <c r="K493" s="36"/>
      <c r="L493" s="39" t="e">
        <f>VLOOKUP('Time Tracking'!$D493,Lists!O:P,2,FALSE)</f>
        <v>#N/A</v>
      </c>
      <c r="M493" s="51" t="e">
        <f>VLOOKUP(C493,Lists!$R$1:$S$15,2,FALSE)</f>
        <v>#N/A</v>
      </c>
      <c r="N493" s="37"/>
    </row>
    <row r="494" spans="1:14" s="24" customFormat="1" x14ac:dyDescent="0.25">
      <c r="A494" s="32"/>
      <c r="B494" s="33"/>
      <c r="C494" s="33"/>
      <c r="D494" s="33"/>
      <c r="E494" s="44" t="e">
        <f>VLOOKUP(A494,Lists!$U$1:$V$121,2,FALSE)</f>
        <v>#N/A</v>
      </c>
      <c r="F494" s="34"/>
      <c r="G494" s="35"/>
      <c r="H494" s="35"/>
      <c r="I494" s="48">
        <f t="shared" si="7"/>
        <v>0</v>
      </c>
      <c r="J494" s="36"/>
      <c r="K494" s="36"/>
      <c r="L494" s="39" t="e">
        <f>VLOOKUP('Time Tracking'!$D494,Lists!O:P,2,FALSE)</f>
        <v>#N/A</v>
      </c>
      <c r="M494" s="51" t="e">
        <f>VLOOKUP(C494,Lists!$R$1:$S$15,2,FALSE)</f>
        <v>#N/A</v>
      </c>
      <c r="N494" s="37"/>
    </row>
    <row r="495" spans="1:14" s="24" customFormat="1" x14ac:dyDescent="0.25">
      <c r="A495" s="32"/>
      <c r="B495" s="33"/>
      <c r="C495" s="33"/>
      <c r="D495" s="33"/>
      <c r="E495" s="44" t="e">
        <f>VLOOKUP(A495,Lists!$U$1:$V$121,2,FALSE)</f>
        <v>#N/A</v>
      </c>
      <c r="F495" s="34"/>
      <c r="G495" s="35"/>
      <c r="H495" s="35"/>
      <c r="I495" s="48">
        <f t="shared" si="7"/>
        <v>0</v>
      </c>
      <c r="J495" s="36"/>
      <c r="K495" s="36"/>
      <c r="L495" s="39" t="e">
        <f>VLOOKUP('Time Tracking'!$D495,Lists!O:P,2,FALSE)</f>
        <v>#N/A</v>
      </c>
      <c r="M495" s="51" t="e">
        <f>VLOOKUP(C495,Lists!$R$1:$S$15,2,FALSE)</f>
        <v>#N/A</v>
      </c>
      <c r="N495" s="37"/>
    </row>
    <row r="496" spans="1:14" s="24" customFormat="1" x14ac:dyDescent="0.25">
      <c r="A496" s="32"/>
      <c r="B496" s="33"/>
      <c r="C496" s="33"/>
      <c r="D496" s="33"/>
      <c r="E496" s="44" t="e">
        <f>VLOOKUP(A496,Lists!$U$1:$V$121,2,FALSE)</f>
        <v>#N/A</v>
      </c>
      <c r="F496" s="34"/>
      <c r="G496" s="35"/>
      <c r="H496" s="35"/>
      <c r="I496" s="48">
        <f t="shared" si="7"/>
        <v>0</v>
      </c>
      <c r="J496" s="36"/>
      <c r="K496" s="36"/>
      <c r="L496" s="39" t="e">
        <f>VLOOKUP('Time Tracking'!$D496,Lists!O:P,2,FALSE)</f>
        <v>#N/A</v>
      </c>
      <c r="M496" s="51" t="e">
        <f>VLOOKUP(C496,Lists!$R$1:$S$15,2,FALSE)</f>
        <v>#N/A</v>
      </c>
      <c r="N496" s="37"/>
    </row>
    <row r="497" spans="1:14" s="24" customFormat="1" x14ac:dyDescent="0.25">
      <c r="A497" s="32"/>
      <c r="B497" s="33"/>
      <c r="C497" s="33"/>
      <c r="D497" s="33"/>
      <c r="E497" s="44" t="e">
        <f>VLOOKUP(A497,Lists!$U$1:$V$121,2,FALSE)</f>
        <v>#N/A</v>
      </c>
      <c r="F497" s="34"/>
      <c r="G497" s="35"/>
      <c r="H497" s="35"/>
      <c r="I497" s="48">
        <f t="shared" si="7"/>
        <v>0</v>
      </c>
      <c r="J497" s="36"/>
      <c r="K497" s="36"/>
      <c r="L497" s="39" t="e">
        <f>VLOOKUP('Time Tracking'!$D497,Lists!O:P,2,FALSE)</f>
        <v>#N/A</v>
      </c>
      <c r="M497" s="51" t="e">
        <f>VLOOKUP(C497,Lists!$R$1:$S$15,2,FALSE)</f>
        <v>#N/A</v>
      </c>
      <c r="N497" s="37"/>
    </row>
    <row r="498" spans="1:14" s="24" customFormat="1" x14ac:dyDescent="0.25">
      <c r="A498" s="32"/>
      <c r="B498" s="33"/>
      <c r="C498" s="33"/>
      <c r="D498" s="33"/>
      <c r="E498" s="44" t="e">
        <f>VLOOKUP(A498,Lists!$U$1:$V$121,2,FALSE)</f>
        <v>#N/A</v>
      </c>
      <c r="F498" s="34"/>
      <c r="G498" s="35"/>
      <c r="H498" s="35"/>
      <c r="I498" s="48">
        <f t="shared" si="7"/>
        <v>0</v>
      </c>
      <c r="J498" s="36"/>
      <c r="K498" s="36"/>
      <c r="L498" s="39" t="e">
        <f>VLOOKUP('Time Tracking'!$D498,Lists!O:P,2,FALSE)</f>
        <v>#N/A</v>
      </c>
      <c r="M498" s="51" t="e">
        <f>VLOOKUP(C498,Lists!$R$1:$S$15,2,FALSE)</f>
        <v>#N/A</v>
      </c>
      <c r="N498" s="37"/>
    </row>
    <row r="499" spans="1:14" s="24" customFormat="1" x14ac:dyDescent="0.25">
      <c r="A499" s="32"/>
      <c r="B499" s="33"/>
      <c r="C499" s="33"/>
      <c r="D499" s="33"/>
      <c r="E499" s="44" t="e">
        <f>VLOOKUP(A499,Lists!$U$1:$V$121,2,FALSE)</f>
        <v>#N/A</v>
      </c>
      <c r="F499" s="34"/>
      <c r="G499" s="35"/>
      <c r="H499" s="35"/>
      <c r="I499" s="48">
        <f t="shared" si="7"/>
        <v>0</v>
      </c>
      <c r="J499" s="36"/>
      <c r="K499" s="36"/>
      <c r="L499" s="39" t="e">
        <f>VLOOKUP('Time Tracking'!$D499,Lists!O:P,2,FALSE)</f>
        <v>#N/A</v>
      </c>
      <c r="M499" s="51" t="e">
        <f>VLOOKUP(C499,Lists!$R$1:$S$15,2,FALSE)</f>
        <v>#N/A</v>
      </c>
      <c r="N499" s="37"/>
    </row>
    <row r="500" spans="1:14" s="24" customFormat="1" x14ac:dyDescent="0.25">
      <c r="A500" s="32"/>
      <c r="B500" s="33"/>
      <c r="C500" s="33"/>
      <c r="D500" s="33"/>
      <c r="E500" s="44" t="e">
        <f>VLOOKUP(A500,Lists!$U$1:$V$121,2,FALSE)</f>
        <v>#N/A</v>
      </c>
      <c r="F500" s="34"/>
      <c r="G500" s="35"/>
      <c r="H500" s="35"/>
      <c r="I500" s="48">
        <f t="shared" si="7"/>
        <v>0</v>
      </c>
      <c r="J500" s="36"/>
      <c r="K500" s="36"/>
      <c r="L500" s="39" t="e">
        <f>VLOOKUP('Time Tracking'!$D500,Lists!O:P,2,FALSE)</f>
        <v>#N/A</v>
      </c>
      <c r="M500" s="51" t="e">
        <f>VLOOKUP(C500,Lists!$R$1:$S$15,2,FALSE)</f>
        <v>#N/A</v>
      </c>
      <c r="N500" s="37"/>
    </row>
    <row r="501" spans="1:14" s="24" customFormat="1" x14ac:dyDescent="0.25">
      <c r="A501" s="32"/>
      <c r="B501" s="33"/>
      <c r="C501" s="33"/>
      <c r="D501" s="33"/>
      <c r="E501" s="44" t="e">
        <f>VLOOKUP(A501,Lists!$U$1:$V$121,2,FALSE)</f>
        <v>#N/A</v>
      </c>
      <c r="F501" s="34"/>
      <c r="G501" s="35"/>
      <c r="H501" s="35"/>
      <c r="I501" s="48">
        <f t="shared" si="7"/>
        <v>0</v>
      </c>
      <c r="J501" s="36"/>
      <c r="K501" s="36"/>
      <c r="L501" s="39" t="e">
        <f>VLOOKUP('Time Tracking'!$D501,Lists!O:P,2,FALSE)</f>
        <v>#N/A</v>
      </c>
      <c r="M501" s="51" t="e">
        <f>VLOOKUP(C501,Lists!$R$1:$S$15,2,FALSE)</f>
        <v>#N/A</v>
      </c>
      <c r="N501" s="37"/>
    </row>
    <row r="502" spans="1:14" s="24" customFormat="1" x14ac:dyDescent="0.25">
      <c r="A502" s="32"/>
      <c r="B502" s="33"/>
      <c r="C502" s="33"/>
      <c r="D502" s="33"/>
      <c r="E502" s="44" t="e">
        <f>VLOOKUP(A502,Lists!$U$1:$V$121,2,FALSE)</f>
        <v>#N/A</v>
      </c>
      <c r="F502" s="34"/>
      <c r="G502" s="35"/>
      <c r="H502" s="35"/>
      <c r="I502" s="48">
        <f t="shared" si="7"/>
        <v>0</v>
      </c>
      <c r="J502" s="36"/>
      <c r="K502" s="36"/>
      <c r="L502" s="39" t="e">
        <f>VLOOKUP('Time Tracking'!$D502,Lists!O:P,2,FALSE)</f>
        <v>#N/A</v>
      </c>
      <c r="M502" s="51" t="e">
        <f>VLOOKUP(C502,Lists!$R$1:$S$15,2,FALSE)</f>
        <v>#N/A</v>
      </c>
      <c r="N502" s="37"/>
    </row>
    <row r="503" spans="1:14" s="24" customFormat="1" x14ac:dyDescent="0.25">
      <c r="A503" s="32"/>
      <c r="B503" s="33"/>
      <c r="C503" s="33"/>
      <c r="D503" s="33"/>
      <c r="E503" s="44" t="e">
        <f>VLOOKUP(A503,Lists!$U$1:$V$121,2,FALSE)</f>
        <v>#N/A</v>
      </c>
      <c r="F503" s="34"/>
      <c r="G503" s="35"/>
      <c r="H503" s="35"/>
      <c r="I503" s="48">
        <f t="shared" si="7"/>
        <v>0</v>
      </c>
      <c r="J503" s="36"/>
      <c r="K503" s="36"/>
      <c r="L503" s="39" t="e">
        <f>VLOOKUP('Time Tracking'!$D503,Lists!O:P,2,FALSE)</f>
        <v>#N/A</v>
      </c>
      <c r="M503" s="51" t="e">
        <f>VLOOKUP(C503,Lists!$R$1:$S$15,2,FALSE)</f>
        <v>#N/A</v>
      </c>
      <c r="N503" s="37"/>
    </row>
    <row r="504" spans="1:14" s="24" customFormat="1" x14ac:dyDescent="0.25">
      <c r="A504" s="32"/>
      <c r="B504" s="33"/>
      <c r="C504" s="33"/>
      <c r="D504" s="33"/>
      <c r="E504" s="44" t="e">
        <f>VLOOKUP(A504,Lists!$U$1:$V$121,2,FALSE)</f>
        <v>#N/A</v>
      </c>
      <c r="F504" s="34"/>
      <c r="G504" s="35"/>
      <c r="H504" s="35"/>
      <c r="I504" s="48">
        <f t="shared" si="7"/>
        <v>0</v>
      </c>
      <c r="J504" s="36"/>
      <c r="K504" s="36"/>
      <c r="L504" s="39" t="e">
        <f>VLOOKUP('Time Tracking'!$D504,Lists!O:P,2,FALSE)</f>
        <v>#N/A</v>
      </c>
      <c r="M504" s="51" t="e">
        <f>VLOOKUP(C504,Lists!$R$1:$S$15,2,FALSE)</f>
        <v>#N/A</v>
      </c>
      <c r="N504" s="37"/>
    </row>
    <row r="505" spans="1:14" s="24" customFormat="1" x14ac:dyDescent="0.25">
      <c r="A505" s="32"/>
      <c r="B505" s="33"/>
      <c r="C505" s="33"/>
      <c r="D505" s="33"/>
      <c r="E505" s="44" t="e">
        <f>VLOOKUP(A505,Lists!$U$1:$V$121,2,FALSE)</f>
        <v>#N/A</v>
      </c>
      <c r="F505" s="34"/>
      <c r="G505" s="35"/>
      <c r="H505" s="35"/>
      <c r="I505" s="48">
        <f t="shared" si="7"/>
        <v>0</v>
      </c>
      <c r="J505" s="36"/>
      <c r="K505" s="36"/>
      <c r="L505" s="39" t="e">
        <f>VLOOKUP('Time Tracking'!$D505,Lists!O:P,2,FALSE)</f>
        <v>#N/A</v>
      </c>
      <c r="M505" s="51" t="e">
        <f>VLOOKUP(C505,Lists!$R$1:$S$15,2,FALSE)</f>
        <v>#N/A</v>
      </c>
      <c r="N505" s="37"/>
    </row>
    <row r="506" spans="1:14" s="24" customFormat="1" x14ac:dyDescent="0.25">
      <c r="A506" s="32"/>
      <c r="B506" s="33"/>
      <c r="C506" s="33"/>
      <c r="D506" s="33"/>
      <c r="E506" s="44" t="e">
        <f>VLOOKUP(A506,Lists!$U$1:$V$121,2,FALSE)</f>
        <v>#N/A</v>
      </c>
      <c r="F506" s="34"/>
      <c r="G506" s="35"/>
      <c r="H506" s="35"/>
      <c r="I506" s="48">
        <f t="shared" si="7"/>
        <v>0</v>
      </c>
      <c r="J506" s="36"/>
      <c r="K506" s="36"/>
      <c r="L506" s="39" t="e">
        <f>VLOOKUP('Time Tracking'!$D506,Lists!O:P,2,FALSE)</f>
        <v>#N/A</v>
      </c>
      <c r="M506" s="51" t="e">
        <f>VLOOKUP(C506,Lists!$R$1:$S$15,2,FALSE)</f>
        <v>#N/A</v>
      </c>
      <c r="N506" s="37"/>
    </row>
    <row r="507" spans="1:14" s="24" customFormat="1" x14ac:dyDescent="0.25">
      <c r="A507" s="32"/>
      <c r="B507" s="33"/>
      <c r="C507" s="33"/>
      <c r="D507" s="33"/>
      <c r="E507" s="44" t="e">
        <f>VLOOKUP(A507,Lists!$U$1:$V$121,2,FALSE)</f>
        <v>#N/A</v>
      </c>
      <c r="F507" s="34"/>
      <c r="G507" s="35"/>
      <c r="H507" s="35"/>
      <c r="I507" s="48">
        <f t="shared" si="7"/>
        <v>0</v>
      </c>
      <c r="J507" s="36"/>
      <c r="K507" s="36"/>
      <c r="L507" s="39" t="e">
        <f>VLOOKUP('Time Tracking'!$D507,Lists!O:P,2,FALSE)</f>
        <v>#N/A</v>
      </c>
      <c r="M507" s="51" t="e">
        <f>VLOOKUP(C507,Lists!$R$1:$S$15,2,FALSE)</f>
        <v>#N/A</v>
      </c>
      <c r="N507" s="37"/>
    </row>
    <row r="508" spans="1:14" s="24" customFormat="1" x14ac:dyDescent="0.25">
      <c r="A508" s="32"/>
      <c r="B508" s="33"/>
      <c r="C508" s="33"/>
      <c r="D508" s="33"/>
      <c r="E508" s="44" t="e">
        <f>VLOOKUP(A508,Lists!$U$1:$V$121,2,FALSE)</f>
        <v>#N/A</v>
      </c>
      <c r="F508" s="34"/>
      <c r="G508" s="35"/>
      <c r="H508" s="35"/>
      <c r="I508" s="48">
        <f t="shared" si="7"/>
        <v>0</v>
      </c>
      <c r="J508" s="36"/>
      <c r="K508" s="36"/>
      <c r="L508" s="39" t="e">
        <f>VLOOKUP('Time Tracking'!$D508,Lists!O:P,2,FALSE)</f>
        <v>#N/A</v>
      </c>
      <c r="M508" s="51" t="e">
        <f>VLOOKUP(C508,Lists!$R$1:$S$15,2,FALSE)</f>
        <v>#N/A</v>
      </c>
      <c r="N508" s="37"/>
    </row>
    <row r="509" spans="1:14" s="24" customFormat="1" x14ac:dyDescent="0.25">
      <c r="A509" s="32"/>
      <c r="B509" s="33"/>
      <c r="C509" s="33"/>
      <c r="D509" s="33"/>
      <c r="E509" s="44" t="e">
        <f>VLOOKUP(A509,Lists!$U$1:$V$121,2,FALSE)</f>
        <v>#N/A</v>
      </c>
      <c r="F509" s="34"/>
      <c r="G509" s="35"/>
      <c r="H509" s="35"/>
      <c r="I509" s="48">
        <f t="shared" si="7"/>
        <v>0</v>
      </c>
      <c r="J509" s="36"/>
      <c r="K509" s="36"/>
      <c r="L509" s="39" t="e">
        <f>VLOOKUP('Time Tracking'!$D509,Lists!O:P,2,FALSE)</f>
        <v>#N/A</v>
      </c>
      <c r="M509" s="51" t="e">
        <f>VLOOKUP(C509,Lists!$R$1:$S$15,2,FALSE)</f>
        <v>#N/A</v>
      </c>
      <c r="N509" s="37"/>
    </row>
    <row r="510" spans="1:14" s="24" customFormat="1" x14ac:dyDescent="0.25">
      <c r="A510" s="32"/>
      <c r="B510" s="33"/>
      <c r="C510" s="33"/>
      <c r="D510" s="33"/>
      <c r="E510" s="44" t="e">
        <f>VLOOKUP(A510,Lists!$U$1:$V$121,2,FALSE)</f>
        <v>#N/A</v>
      </c>
      <c r="F510" s="34"/>
      <c r="G510" s="35"/>
      <c r="H510" s="35"/>
      <c r="I510" s="48">
        <f t="shared" si="7"/>
        <v>0</v>
      </c>
      <c r="J510" s="36"/>
      <c r="K510" s="36"/>
      <c r="L510" s="39" t="e">
        <f>VLOOKUP('Time Tracking'!$D510,Lists!O:P,2,FALSE)</f>
        <v>#N/A</v>
      </c>
      <c r="M510" s="51" t="e">
        <f>VLOOKUP(C510,Lists!$R$1:$S$15,2,FALSE)</f>
        <v>#N/A</v>
      </c>
      <c r="N510" s="37"/>
    </row>
    <row r="511" spans="1:14" s="24" customFormat="1" x14ac:dyDescent="0.25">
      <c r="A511" s="32"/>
      <c r="B511" s="33"/>
      <c r="C511" s="33"/>
      <c r="D511" s="33"/>
      <c r="E511" s="44" t="e">
        <f>VLOOKUP(A511,Lists!$U$1:$V$121,2,FALSE)</f>
        <v>#N/A</v>
      </c>
      <c r="F511" s="34"/>
      <c r="G511" s="35"/>
      <c r="H511" s="35"/>
      <c r="I511" s="48">
        <f t="shared" si="7"/>
        <v>0</v>
      </c>
      <c r="J511" s="36"/>
      <c r="K511" s="36"/>
      <c r="L511" s="39" t="e">
        <f>VLOOKUP('Time Tracking'!$D511,Lists!O:P,2,FALSE)</f>
        <v>#N/A</v>
      </c>
      <c r="M511" s="51" t="e">
        <f>VLOOKUP(C511,Lists!$R$1:$S$15,2,FALSE)</f>
        <v>#N/A</v>
      </c>
      <c r="N511" s="37"/>
    </row>
    <row r="512" spans="1:14" s="24" customFormat="1" x14ac:dyDescent="0.25">
      <c r="A512" s="32"/>
      <c r="B512" s="33"/>
      <c r="C512" s="33"/>
      <c r="D512" s="33"/>
      <c r="E512" s="44" t="e">
        <f>VLOOKUP(A512,Lists!$U$1:$V$121,2,FALSE)</f>
        <v>#N/A</v>
      </c>
      <c r="F512" s="34"/>
      <c r="G512" s="35"/>
      <c r="H512" s="35"/>
      <c r="I512" s="48">
        <f t="shared" si="7"/>
        <v>0</v>
      </c>
      <c r="J512" s="36"/>
      <c r="K512" s="36"/>
      <c r="L512" s="39" t="e">
        <f>VLOOKUP('Time Tracking'!$D512,Lists!O:P,2,FALSE)</f>
        <v>#N/A</v>
      </c>
      <c r="M512" s="51" t="e">
        <f>VLOOKUP(C512,Lists!$R$1:$S$15,2,FALSE)</f>
        <v>#N/A</v>
      </c>
      <c r="N512" s="37"/>
    </row>
    <row r="513" spans="1:14" s="24" customFormat="1" x14ac:dyDescent="0.25">
      <c r="A513" s="32"/>
      <c r="B513" s="33"/>
      <c r="C513" s="33"/>
      <c r="D513" s="33"/>
      <c r="E513" s="44" t="e">
        <f>VLOOKUP(A513,Lists!$U$1:$V$121,2,FALSE)</f>
        <v>#N/A</v>
      </c>
      <c r="F513" s="34"/>
      <c r="G513" s="35"/>
      <c r="H513" s="35"/>
      <c r="I513" s="48">
        <f t="shared" si="7"/>
        <v>0</v>
      </c>
      <c r="J513" s="36"/>
      <c r="K513" s="36"/>
      <c r="L513" s="39" t="e">
        <f>VLOOKUP('Time Tracking'!$D513,Lists!O:P,2,FALSE)</f>
        <v>#N/A</v>
      </c>
      <c r="M513" s="51" t="e">
        <f>VLOOKUP(C513,Lists!$R$1:$S$15,2,FALSE)</f>
        <v>#N/A</v>
      </c>
      <c r="N513" s="37"/>
    </row>
    <row r="514" spans="1:14" s="24" customFormat="1" x14ac:dyDescent="0.25">
      <c r="A514" s="32"/>
      <c r="B514" s="33"/>
      <c r="C514" s="33"/>
      <c r="D514" s="33"/>
      <c r="E514" s="44" t="e">
        <f>VLOOKUP(A514,Lists!$U$1:$V$121,2,FALSE)</f>
        <v>#N/A</v>
      </c>
      <c r="F514" s="34"/>
      <c r="G514" s="35"/>
      <c r="H514" s="35"/>
      <c r="I514" s="48">
        <f t="shared" ref="I514:I577" si="8">(IFERROR(TEXT(H514-G514,"h:mm"),"0:00"))*24</f>
        <v>0</v>
      </c>
      <c r="J514" s="36"/>
      <c r="K514" s="36"/>
      <c r="L514" s="39" t="e">
        <f>VLOOKUP('Time Tracking'!$D514,Lists!O:P,2,FALSE)</f>
        <v>#N/A</v>
      </c>
      <c r="M514" s="51" t="e">
        <f>VLOOKUP(C514,Lists!$R$1:$S$15,2,FALSE)</f>
        <v>#N/A</v>
      </c>
      <c r="N514" s="37"/>
    </row>
    <row r="515" spans="1:14" s="24" customFormat="1" x14ac:dyDescent="0.25">
      <c r="A515" s="32"/>
      <c r="B515" s="33"/>
      <c r="C515" s="33"/>
      <c r="D515" s="33"/>
      <c r="E515" s="44" t="e">
        <f>VLOOKUP(A515,Lists!$U$1:$V$121,2,FALSE)</f>
        <v>#N/A</v>
      </c>
      <c r="F515" s="34"/>
      <c r="G515" s="35"/>
      <c r="H515" s="35"/>
      <c r="I515" s="48">
        <f t="shared" si="8"/>
        <v>0</v>
      </c>
      <c r="J515" s="36"/>
      <c r="K515" s="36"/>
      <c r="L515" s="39" t="e">
        <f>VLOOKUP('Time Tracking'!$D515,Lists!O:P,2,FALSE)</f>
        <v>#N/A</v>
      </c>
      <c r="M515" s="51" t="e">
        <f>VLOOKUP(C515,Lists!$R$1:$S$15,2,FALSE)</f>
        <v>#N/A</v>
      </c>
      <c r="N515" s="37"/>
    </row>
    <row r="516" spans="1:14" s="24" customFormat="1" x14ac:dyDescent="0.25">
      <c r="A516" s="32"/>
      <c r="B516" s="33"/>
      <c r="C516" s="33"/>
      <c r="D516" s="33"/>
      <c r="E516" s="44" t="e">
        <f>VLOOKUP(A516,Lists!$U$1:$V$121,2,FALSE)</f>
        <v>#N/A</v>
      </c>
      <c r="F516" s="34"/>
      <c r="G516" s="35"/>
      <c r="H516" s="35"/>
      <c r="I516" s="48">
        <f t="shared" si="8"/>
        <v>0</v>
      </c>
      <c r="J516" s="36"/>
      <c r="K516" s="36"/>
      <c r="L516" s="39" t="e">
        <f>VLOOKUP('Time Tracking'!$D516,Lists!O:P,2,FALSE)</f>
        <v>#N/A</v>
      </c>
      <c r="M516" s="51" t="e">
        <f>VLOOKUP(C516,Lists!$R$1:$S$15,2,FALSE)</f>
        <v>#N/A</v>
      </c>
      <c r="N516" s="37"/>
    </row>
    <row r="517" spans="1:14" s="24" customFormat="1" x14ac:dyDescent="0.25">
      <c r="A517" s="32"/>
      <c r="B517" s="33"/>
      <c r="C517" s="33"/>
      <c r="D517" s="33"/>
      <c r="E517" s="44" t="e">
        <f>VLOOKUP(A517,Lists!$U$1:$V$121,2,FALSE)</f>
        <v>#N/A</v>
      </c>
      <c r="F517" s="34"/>
      <c r="G517" s="35"/>
      <c r="H517" s="35"/>
      <c r="I517" s="48">
        <f t="shared" si="8"/>
        <v>0</v>
      </c>
      <c r="J517" s="36"/>
      <c r="K517" s="36"/>
      <c r="L517" s="39" t="e">
        <f>VLOOKUP('Time Tracking'!$D517,Lists!O:P,2,FALSE)</f>
        <v>#N/A</v>
      </c>
      <c r="M517" s="51" t="e">
        <f>VLOOKUP(C517,Lists!$R$1:$S$15,2,FALSE)</f>
        <v>#N/A</v>
      </c>
      <c r="N517" s="37"/>
    </row>
    <row r="518" spans="1:14" s="24" customFormat="1" x14ac:dyDescent="0.25">
      <c r="A518" s="32"/>
      <c r="B518" s="33"/>
      <c r="C518" s="33"/>
      <c r="D518" s="33"/>
      <c r="E518" s="44" t="e">
        <f>VLOOKUP(A518,Lists!$U$1:$V$121,2,FALSE)</f>
        <v>#N/A</v>
      </c>
      <c r="F518" s="34"/>
      <c r="G518" s="35"/>
      <c r="H518" s="35"/>
      <c r="I518" s="48">
        <f t="shared" si="8"/>
        <v>0</v>
      </c>
      <c r="J518" s="36"/>
      <c r="K518" s="36"/>
      <c r="L518" s="39" t="e">
        <f>VLOOKUP('Time Tracking'!$D518,Lists!O:P,2,FALSE)</f>
        <v>#N/A</v>
      </c>
      <c r="M518" s="51" t="e">
        <f>VLOOKUP(C518,Lists!$R$1:$S$15,2,FALSE)</f>
        <v>#N/A</v>
      </c>
      <c r="N518" s="37"/>
    </row>
    <row r="519" spans="1:14" s="24" customFormat="1" x14ac:dyDescent="0.25">
      <c r="A519" s="32"/>
      <c r="B519" s="33"/>
      <c r="C519" s="33"/>
      <c r="D519" s="33"/>
      <c r="E519" s="44" t="e">
        <f>VLOOKUP(A519,Lists!$U$1:$V$121,2,FALSE)</f>
        <v>#N/A</v>
      </c>
      <c r="F519" s="34"/>
      <c r="G519" s="35"/>
      <c r="H519" s="35"/>
      <c r="I519" s="48">
        <f t="shared" si="8"/>
        <v>0</v>
      </c>
      <c r="J519" s="36"/>
      <c r="K519" s="36"/>
      <c r="L519" s="39" t="e">
        <f>VLOOKUP('Time Tracking'!$D519,Lists!O:P,2,FALSE)</f>
        <v>#N/A</v>
      </c>
      <c r="M519" s="51" t="e">
        <f>VLOOKUP(C519,Lists!$R$1:$S$15,2,FALSE)</f>
        <v>#N/A</v>
      </c>
      <c r="N519" s="37"/>
    </row>
    <row r="520" spans="1:14" s="24" customFormat="1" x14ac:dyDescent="0.25">
      <c r="A520" s="32"/>
      <c r="B520" s="33"/>
      <c r="C520" s="33"/>
      <c r="D520" s="33"/>
      <c r="E520" s="44" t="e">
        <f>VLOOKUP(A520,Lists!$U$1:$V$121,2,FALSE)</f>
        <v>#N/A</v>
      </c>
      <c r="F520" s="34"/>
      <c r="G520" s="35"/>
      <c r="H520" s="35"/>
      <c r="I520" s="48">
        <f t="shared" si="8"/>
        <v>0</v>
      </c>
      <c r="J520" s="36"/>
      <c r="K520" s="36"/>
      <c r="L520" s="39" t="e">
        <f>VLOOKUP('Time Tracking'!$D520,Lists!O:P,2,FALSE)</f>
        <v>#N/A</v>
      </c>
      <c r="M520" s="51" t="e">
        <f>VLOOKUP(C520,Lists!$R$1:$S$15,2,FALSE)</f>
        <v>#N/A</v>
      </c>
      <c r="N520" s="37"/>
    </row>
    <row r="521" spans="1:14" s="24" customFormat="1" x14ac:dyDescent="0.25">
      <c r="A521" s="32"/>
      <c r="B521" s="33"/>
      <c r="C521" s="33"/>
      <c r="D521" s="33"/>
      <c r="E521" s="44" t="e">
        <f>VLOOKUP(A521,Lists!$U$1:$V$121,2,FALSE)</f>
        <v>#N/A</v>
      </c>
      <c r="F521" s="34"/>
      <c r="G521" s="35"/>
      <c r="H521" s="35"/>
      <c r="I521" s="48">
        <f t="shared" si="8"/>
        <v>0</v>
      </c>
      <c r="J521" s="36"/>
      <c r="K521" s="36"/>
      <c r="L521" s="39" t="e">
        <f>VLOOKUP('Time Tracking'!$D521,Lists!O:P,2,FALSE)</f>
        <v>#N/A</v>
      </c>
      <c r="M521" s="51" t="e">
        <f>VLOOKUP(C521,Lists!$R$1:$S$15,2,FALSE)</f>
        <v>#N/A</v>
      </c>
      <c r="N521" s="37"/>
    </row>
    <row r="522" spans="1:14" s="24" customFormat="1" x14ac:dyDescent="0.25">
      <c r="A522" s="32"/>
      <c r="B522" s="33"/>
      <c r="C522" s="33"/>
      <c r="D522" s="33"/>
      <c r="E522" s="44" t="e">
        <f>VLOOKUP(A522,Lists!$U$1:$V$121,2,FALSE)</f>
        <v>#N/A</v>
      </c>
      <c r="F522" s="34"/>
      <c r="G522" s="35"/>
      <c r="H522" s="35"/>
      <c r="I522" s="48">
        <f t="shared" si="8"/>
        <v>0</v>
      </c>
      <c r="J522" s="36"/>
      <c r="K522" s="36"/>
      <c r="L522" s="39" t="e">
        <f>VLOOKUP('Time Tracking'!$D522,Lists!O:P,2,FALSE)</f>
        <v>#N/A</v>
      </c>
      <c r="M522" s="51" t="e">
        <f>VLOOKUP(C522,Lists!$R$1:$S$15,2,FALSE)</f>
        <v>#N/A</v>
      </c>
      <c r="N522" s="37"/>
    </row>
    <row r="523" spans="1:14" s="24" customFormat="1" x14ac:dyDescent="0.25">
      <c r="A523" s="32"/>
      <c r="B523" s="33"/>
      <c r="C523" s="33"/>
      <c r="D523" s="33"/>
      <c r="E523" s="44" t="e">
        <f>VLOOKUP(A523,Lists!$U$1:$V$121,2,FALSE)</f>
        <v>#N/A</v>
      </c>
      <c r="F523" s="34"/>
      <c r="G523" s="35"/>
      <c r="H523" s="35"/>
      <c r="I523" s="48">
        <f t="shared" si="8"/>
        <v>0</v>
      </c>
      <c r="J523" s="36"/>
      <c r="K523" s="36"/>
      <c r="L523" s="39" t="e">
        <f>VLOOKUP('Time Tracking'!$D523,Lists!O:P,2,FALSE)</f>
        <v>#N/A</v>
      </c>
      <c r="M523" s="51" t="e">
        <f>VLOOKUP(C523,Lists!$R$1:$S$15,2,FALSE)</f>
        <v>#N/A</v>
      </c>
      <c r="N523" s="37"/>
    </row>
    <row r="524" spans="1:14" s="24" customFormat="1" x14ac:dyDescent="0.25">
      <c r="A524" s="32"/>
      <c r="B524" s="33"/>
      <c r="C524" s="33"/>
      <c r="D524" s="33"/>
      <c r="E524" s="44" t="e">
        <f>VLOOKUP(A524,Lists!$U$1:$V$121,2,FALSE)</f>
        <v>#N/A</v>
      </c>
      <c r="F524" s="34"/>
      <c r="G524" s="35"/>
      <c r="H524" s="35"/>
      <c r="I524" s="48">
        <f t="shared" si="8"/>
        <v>0</v>
      </c>
      <c r="J524" s="36"/>
      <c r="K524" s="36"/>
      <c r="L524" s="39" t="e">
        <f>VLOOKUP('Time Tracking'!$D524,Lists!O:P,2,FALSE)</f>
        <v>#N/A</v>
      </c>
      <c r="M524" s="51" t="e">
        <f>VLOOKUP(C524,Lists!$R$1:$S$15,2,FALSE)</f>
        <v>#N/A</v>
      </c>
      <c r="N524" s="37"/>
    </row>
    <row r="525" spans="1:14" s="24" customFormat="1" x14ac:dyDescent="0.25">
      <c r="A525" s="32"/>
      <c r="B525" s="33"/>
      <c r="C525" s="33"/>
      <c r="D525" s="33"/>
      <c r="E525" s="44" t="e">
        <f>VLOOKUP(A525,Lists!$U$1:$V$121,2,FALSE)</f>
        <v>#N/A</v>
      </c>
      <c r="F525" s="34"/>
      <c r="G525" s="35"/>
      <c r="H525" s="35"/>
      <c r="I525" s="48">
        <f t="shared" si="8"/>
        <v>0</v>
      </c>
      <c r="J525" s="36"/>
      <c r="K525" s="36"/>
      <c r="L525" s="39" t="e">
        <f>VLOOKUP('Time Tracking'!$D525,Lists!O:P,2,FALSE)</f>
        <v>#N/A</v>
      </c>
      <c r="M525" s="51" t="e">
        <f>VLOOKUP(C525,Lists!$R$1:$S$15,2,FALSE)</f>
        <v>#N/A</v>
      </c>
      <c r="N525" s="37"/>
    </row>
    <row r="526" spans="1:14" s="24" customFormat="1" x14ac:dyDescent="0.25">
      <c r="A526" s="32"/>
      <c r="B526" s="33"/>
      <c r="C526" s="33"/>
      <c r="D526" s="33"/>
      <c r="E526" s="44" t="e">
        <f>VLOOKUP(A526,Lists!$U$1:$V$121,2,FALSE)</f>
        <v>#N/A</v>
      </c>
      <c r="F526" s="34"/>
      <c r="G526" s="35"/>
      <c r="H526" s="35"/>
      <c r="I526" s="48">
        <f t="shared" si="8"/>
        <v>0</v>
      </c>
      <c r="J526" s="36"/>
      <c r="K526" s="36"/>
      <c r="L526" s="39" t="e">
        <f>VLOOKUP('Time Tracking'!$D526,Lists!O:P,2,FALSE)</f>
        <v>#N/A</v>
      </c>
      <c r="M526" s="51" t="e">
        <f>VLOOKUP(C526,Lists!$R$1:$S$15,2,FALSE)</f>
        <v>#N/A</v>
      </c>
      <c r="N526" s="37"/>
    </row>
    <row r="527" spans="1:14" s="24" customFormat="1" x14ac:dyDescent="0.25">
      <c r="A527" s="32"/>
      <c r="B527" s="33"/>
      <c r="C527" s="33"/>
      <c r="D527" s="33"/>
      <c r="E527" s="44" t="e">
        <f>VLOOKUP(A527,Lists!$U$1:$V$121,2,FALSE)</f>
        <v>#N/A</v>
      </c>
      <c r="F527" s="34"/>
      <c r="G527" s="35"/>
      <c r="H527" s="35"/>
      <c r="I527" s="48">
        <f t="shared" si="8"/>
        <v>0</v>
      </c>
      <c r="J527" s="36"/>
      <c r="K527" s="36"/>
      <c r="L527" s="39" t="e">
        <f>VLOOKUP('Time Tracking'!$D527,Lists!O:P,2,FALSE)</f>
        <v>#N/A</v>
      </c>
      <c r="M527" s="51" t="e">
        <f>VLOOKUP(C527,Lists!$R$1:$S$15,2,FALSE)</f>
        <v>#N/A</v>
      </c>
      <c r="N527" s="37"/>
    </row>
    <row r="528" spans="1:14" s="24" customFormat="1" x14ac:dyDescent="0.25">
      <c r="A528" s="32"/>
      <c r="B528" s="33"/>
      <c r="C528" s="33"/>
      <c r="D528" s="33"/>
      <c r="E528" s="44" t="e">
        <f>VLOOKUP(A528,Lists!$U$1:$V$121,2,FALSE)</f>
        <v>#N/A</v>
      </c>
      <c r="F528" s="34"/>
      <c r="G528" s="35"/>
      <c r="H528" s="35"/>
      <c r="I528" s="48">
        <f t="shared" si="8"/>
        <v>0</v>
      </c>
      <c r="J528" s="36"/>
      <c r="K528" s="36"/>
      <c r="L528" s="39" t="e">
        <f>VLOOKUP('Time Tracking'!$D528,Lists!O:P,2,FALSE)</f>
        <v>#N/A</v>
      </c>
      <c r="M528" s="51" t="e">
        <f>VLOOKUP(C528,Lists!$R$1:$S$15,2,FALSE)</f>
        <v>#N/A</v>
      </c>
      <c r="N528" s="37"/>
    </row>
    <row r="529" spans="1:14" s="24" customFormat="1" x14ac:dyDescent="0.25">
      <c r="A529" s="32"/>
      <c r="B529" s="33"/>
      <c r="C529" s="33"/>
      <c r="D529" s="33"/>
      <c r="E529" s="44" t="e">
        <f>VLOOKUP(A529,Lists!$U$1:$V$121,2,FALSE)</f>
        <v>#N/A</v>
      </c>
      <c r="F529" s="34"/>
      <c r="G529" s="35"/>
      <c r="H529" s="35"/>
      <c r="I529" s="48">
        <f t="shared" si="8"/>
        <v>0</v>
      </c>
      <c r="J529" s="36"/>
      <c r="K529" s="36"/>
      <c r="L529" s="39" t="e">
        <f>VLOOKUP('Time Tracking'!$D529,Lists!O:P,2,FALSE)</f>
        <v>#N/A</v>
      </c>
      <c r="M529" s="51" t="e">
        <f>VLOOKUP(C529,Lists!$R$1:$S$15,2,FALSE)</f>
        <v>#N/A</v>
      </c>
      <c r="N529" s="37"/>
    </row>
    <row r="530" spans="1:14" s="24" customFormat="1" x14ac:dyDescent="0.25">
      <c r="A530" s="32"/>
      <c r="B530" s="33"/>
      <c r="C530" s="33"/>
      <c r="D530" s="33"/>
      <c r="E530" s="44" t="e">
        <f>VLOOKUP(A530,Lists!$U$1:$V$121,2,FALSE)</f>
        <v>#N/A</v>
      </c>
      <c r="F530" s="34"/>
      <c r="G530" s="35"/>
      <c r="H530" s="35"/>
      <c r="I530" s="48">
        <f t="shared" si="8"/>
        <v>0</v>
      </c>
      <c r="J530" s="36"/>
      <c r="K530" s="36"/>
      <c r="L530" s="39" t="e">
        <f>VLOOKUP('Time Tracking'!$D530,Lists!O:P,2,FALSE)</f>
        <v>#N/A</v>
      </c>
      <c r="M530" s="51" t="e">
        <f>VLOOKUP(C530,Lists!$R$1:$S$15,2,FALSE)</f>
        <v>#N/A</v>
      </c>
      <c r="N530" s="37"/>
    </row>
    <row r="531" spans="1:14" s="24" customFormat="1" x14ac:dyDescent="0.25">
      <c r="A531" s="32"/>
      <c r="B531" s="33"/>
      <c r="C531" s="33"/>
      <c r="D531" s="33"/>
      <c r="E531" s="44" t="e">
        <f>VLOOKUP(A531,Lists!$U$1:$V$121,2,FALSE)</f>
        <v>#N/A</v>
      </c>
      <c r="F531" s="34"/>
      <c r="G531" s="35"/>
      <c r="H531" s="35"/>
      <c r="I531" s="48">
        <f t="shared" si="8"/>
        <v>0</v>
      </c>
      <c r="J531" s="36"/>
      <c r="K531" s="36"/>
      <c r="L531" s="39" t="e">
        <f>VLOOKUP('Time Tracking'!$D531,Lists!O:P,2,FALSE)</f>
        <v>#N/A</v>
      </c>
      <c r="M531" s="51" t="e">
        <f>VLOOKUP(C531,Lists!$R$1:$S$15,2,FALSE)</f>
        <v>#N/A</v>
      </c>
      <c r="N531" s="37"/>
    </row>
    <row r="532" spans="1:14" s="24" customFormat="1" x14ac:dyDescent="0.25">
      <c r="A532" s="32"/>
      <c r="B532" s="33"/>
      <c r="C532" s="33"/>
      <c r="D532" s="33"/>
      <c r="E532" s="44" t="e">
        <f>VLOOKUP(A532,Lists!$U$1:$V$121,2,FALSE)</f>
        <v>#N/A</v>
      </c>
      <c r="F532" s="34"/>
      <c r="G532" s="35"/>
      <c r="H532" s="35"/>
      <c r="I532" s="48">
        <f t="shared" si="8"/>
        <v>0</v>
      </c>
      <c r="J532" s="36"/>
      <c r="K532" s="36"/>
      <c r="L532" s="39" t="e">
        <f>VLOOKUP('Time Tracking'!$D532,Lists!O:P,2,FALSE)</f>
        <v>#N/A</v>
      </c>
      <c r="M532" s="51" t="e">
        <f>VLOOKUP(C532,Lists!$R$1:$S$15,2,FALSE)</f>
        <v>#N/A</v>
      </c>
      <c r="N532" s="37"/>
    </row>
    <row r="533" spans="1:14" s="24" customFormat="1" x14ac:dyDescent="0.25">
      <c r="A533" s="32"/>
      <c r="B533" s="33"/>
      <c r="C533" s="33"/>
      <c r="D533" s="33"/>
      <c r="E533" s="44" t="e">
        <f>VLOOKUP(A533,Lists!$U$1:$V$121,2,FALSE)</f>
        <v>#N/A</v>
      </c>
      <c r="F533" s="34"/>
      <c r="G533" s="35"/>
      <c r="H533" s="35"/>
      <c r="I533" s="48">
        <f t="shared" si="8"/>
        <v>0</v>
      </c>
      <c r="J533" s="36"/>
      <c r="K533" s="36"/>
      <c r="L533" s="39" t="e">
        <f>VLOOKUP('Time Tracking'!$D533,Lists!O:P,2,FALSE)</f>
        <v>#N/A</v>
      </c>
      <c r="M533" s="51" t="e">
        <f>VLOOKUP(C533,Lists!$R$1:$S$15,2,FALSE)</f>
        <v>#N/A</v>
      </c>
      <c r="N533" s="37"/>
    </row>
    <row r="534" spans="1:14" s="24" customFormat="1" x14ac:dyDescent="0.25">
      <c r="A534" s="32"/>
      <c r="B534" s="33"/>
      <c r="C534" s="33"/>
      <c r="D534" s="33"/>
      <c r="E534" s="44" t="e">
        <f>VLOOKUP(A534,Lists!$U$1:$V$121,2,FALSE)</f>
        <v>#N/A</v>
      </c>
      <c r="F534" s="34"/>
      <c r="G534" s="35"/>
      <c r="H534" s="35"/>
      <c r="I534" s="48">
        <f t="shared" si="8"/>
        <v>0</v>
      </c>
      <c r="J534" s="36"/>
      <c r="K534" s="36"/>
      <c r="L534" s="39" t="e">
        <f>VLOOKUP('Time Tracking'!$D534,Lists!O:P,2,FALSE)</f>
        <v>#N/A</v>
      </c>
      <c r="M534" s="51" t="e">
        <f>VLOOKUP(C534,Lists!$R$1:$S$15,2,FALSE)</f>
        <v>#N/A</v>
      </c>
      <c r="N534" s="37"/>
    </row>
    <row r="535" spans="1:14" s="24" customFormat="1" x14ac:dyDescent="0.25">
      <c r="A535" s="32"/>
      <c r="B535" s="33"/>
      <c r="C535" s="33"/>
      <c r="D535" s="33"/>
      <c r="E535" s="44" t="e">
        <f>VLOOKUP(A535,Lists!$U$1:$V$121,2,FALSE)</f>
        <v>#N/A</v>
      </c>
      <c r="F535" s="34"/>
      <c r="G535" s="35"/>
      <c r="H535" s="35"/>
      <c r="I535" s="48">
        <f t="shared" si="8"/>
        <v>0</v>
      </c>
      <c r="J535" s="36"/>
      <c r="K535" s="36"/>
      <c r="L535" s="39" t="e">
        <f>VLOOKUP('Time Tracking'!$D535,Lists!O:P,2,FALSE)</f>
        <v>#N/A</v>
      </c>
      <c r="M535" s="51" t="e">
        <f>VLOOKUP(C535,Lists!$R$1:$S$15,2,FALSE)</f>
        <v>#N/A</v>
      </c>
      <c r="N535" s="37"/>
    </row>
    <row r="536" spans="1:14" s="24" customFormat="1" x14ac:dyDescent="0.25">
      <c r="A536" s="32"/>
      <c r="B536" s="33"/>
      <c r="C536" s="33"/>
      <c r="D536" s="33"/>
      <c r="E536" s="44" t="e">
        <f>VLOOKUP(A536,Lists!$U$1:$V$121,2,FALSE)</f>
        <v>#N/A</v>
      </c>
      <c r="F536" s="34"/>
      <c r="G536" s="35"/>
      <c r="H536" s="35"/>
      <c r="I536" s="48">
        <f t="shared" si="8"/>
        <v>0</v>
      </c>
      <c r="J536" s="36"/>
      <c r="K536" s="36"/>
      <c r="L536" s="39" t="e">
        <f>VLOOKUP('Time Tracking'!$D536,Lists!O:P,2,FALSE)</f>
        <v>#N/A</v>
      </c>
      <c r="M536" s="51" t="e">
        <f>VLOOKUP(C536,Lists!$R$1:$S$15,2,FALSE)</f>
        <v>#N/A</v>
      </c>
      <c r="N536" s="37"/>
    </row>
    <row r="537" spans="1:14" s="24" customFormat="1" x14ac:dyDescent="0.25">
      <c r="A537" s="32"/>
      <c r="B537" s="33"/>
      <c r="C537" s="33"/>
      <c r="D537" s="33"/>
      <c r="E537" s="44" t="e">
        <f>VLOOKUP(A537,Lists!$U$1:$V$121,2,FALSE)</f>
        <v>#N/A</v>
      </c>
      <c r="F537" s="34"/>
      <c r="G537" s="35"/>
      <c r="H537" s="35"/>
      <c r="I537" s="48">
        <f t="shared" si="8"/>
        <v>0</v>
      </c>
      <c r="J537" s="36"/>
      <c r="K537" s="36"/>
      <c r="L537" s="39" t="e">
        <f>VLOOKUP('Time Tracking'!$D537,Lists!O:P,2,FALSE)</f>
        <v>#N/A</v>
      </c>
      <c r="M537" s="51" t="e">
        <f>VLOOKUP(C537,Lists!$R$1:$S$15,2,FALSE)</f>
        <v>#N/A</v>
      </c>
      <c r="N537" s="37"/>
    </row>
    <row r="538" spans="1:14" s="24" customFormat="1" x14ac:dyDescent="0.25">
      <c r="A538" s="32"/>
      <c r="B538" s="33"/>
      <c r="C538" s="33"/>
      <c r="D538" s="33"/>
      <c r="E538" s="44" t="e">
        <f>VLOOKUP(A538,Lists!$U$1:$V$121,2,FALSE)</f>
        <v>#N/A</v>
      </c>
      <c r="F538" s="34"/>
      <c r="G538" s="35"/>
      <c r="H538" s="35"/>
      <c r="I538" s="48">
        <f t="shared" si="8"/>
        <v>0</v>
      </c>
      <c r="J538" s="36"/>
      <c r="K538" s="36"/>
      <c r="L538" s="39" t="e">
        <f>VLOOKUP('Time Tracking'!$D538,Lists!O:P,2,FALSE)</f>
        <v>#N/A</v>
      </c>
      <c r="M538" s="51" t="e">
        <f>VLOOKUP(C538,Lists!$R$1:$S$15,2,FALSE)</f>
        <v>#N/A</v>
      </c>
      <c r="N538" s="37"/>
    </row>
    <row r="539" spans="1:14" s="24" customFormat="1" x14ac:dyDescent="0.25">
      <c r="A539" s="32"/>
      <c r="B539" s="33"/>
      <c r="C539" s="33"/>
      <c r="D539" s="33"/>
      <c r="E539" s="44" t="e">
        <f>VLOOKUP(A539,Lists!$U$1:$V$121,2,FALSE)</f>
        <v>#N/A</v>
      </c>
      <c r="F539" s="34"/>
      <c r="G539" s="35"/>
      <c r="H539" s="35"/>
      <c r="I539" s="48">
        <f t="shared" si="8"/>
        <v>0</v>
      </c>
      <c r="J539" s="36"/>
      <c r="K539" s="36"/>
      <c r="L539" s="39" t="e">
        <f>VLOOKUP('Time Tracking'!$D539,Lists!O:P,2,FALSE)</f>
        <v>#N/A</v>
      </c>
      <c r="M539" s="51" t="e">
        <f>VLOOKUP(C539,Lists!$R$1:$S$15,2,FALSE)</f>
        <v>#N/A</v>
      </c>
      <c r="N539" s="37"/>
    </row>
    <row r="540" spans="1:14" s="24" customFormat="1" x14ac:dyDescent="0.25">
      <c r="A540" s="32"/>
      <c r="B540" s="33"/>
      <c r="C540" s="33"/>
      <c r="D540" s="33"/>
      <c r="E540" s="44" t="e">
        <f>VLOOKUP(A540,Lists!$U$1:$V$121,2,FALSE)</f>
        <v>#N/A</v>
      </c>
      <c r="F540" s="34"/>
      <c r="G540" s="35"/>
      <c r="H540" s="35"/>
      <c r="I540" s="48">
        <f t="shared" si="8"/>
        <v>0</v>
      </c>
      <c r="J540" s="36"/>
      <c r="K540" s="36"/>
      <c r="L540" s="39" t="e">
        <f>VLOOKUP('Time Tracking'!$D540,Lists!O:P,2,FALSE)</f>
        <v>#N/A</v>
      </c>
      <c r="M540" s="51" t="e">
        <f>VLOOKUP(C540,Lists!$R$1:$S$15,2,FALSE)</f>
        <v>#N/A</v>
      </c>
      <c r="N540" s="37"/>
    </row>
    <row r="541" spans="1:14" s="24" customFormat="1" x14ac:dyDescent="0.25">
      <c r="A541" s="32"/>
      <c r="B541" s="33"/>
      <c r="C541" s="33"/>
      <c r="D541" s="33"/>
      <c r="E541" s="44" t="e">
        <f>VLOOKUP(A541,Lists!$U$1:$V$121,2,FALSE)</f>
        <v>#N/A</v>
      </c>
      <c r="F541" s="34"/>
      <c r="G541" s="35"/>
      <c r="H541" s="35"/>
      <c r="I541" s="48">
        <f t="shared" si="8"/>
        <v>0</v>
      </c>
      <c r="J541" s="36"/>
      <c r="K541" s="36"/>
      <c r="L541" s="39" t="e">
        <f>VLOOKUP('Time Tracking'!$D541,Lists!O:P,2,FALSE)</f>
        <v>#N/A</v>
      </c>
      <c r="M541" s="51" t="e">
        <f>VLOOKUP(C541,Lists!$R$1:$S$15,2,FALSE)</f>
        <v>#N/A</v>
      </c>
      <c r="N541" s="37"/>
    </row>
    <row r="542" spans="1:14" s="24" customFormat="1" x14ac:dyDescent="0.25">
      <c r="A542" s="32"/>
      <c r="B542" s="33"/>
      <c r="C542" s="33"/>
      <c r="D542" s="33"/>
      <c r="E542" s="44" t="e">
        <f>VLOOKUP(A542,Lists!$U$1:$V$121,2,FALSE)</f>
        <v>#N/A</v>
      </c>
      <c r="F542" s="34"/>
      <c r="G542" s="35"/>
      <c r="H542" s="35"/>
      <c r="I542" s="48">
        <f t="shared" si="8"/>
        <v>0</v>
      </c>
      <c r="J542" s="36"/>
      <c r="K542" s="36"/>
      <c r="L542" s="39" t="e">
        <f>VLOOKUP('Time Tracking'!$D542,Lists!O:P,2,FALSE)</f>
        <v>#N/A</v>
      </c>
      <c r="M542" s="51" t="e">
        <f>VLOOKUP(C542,Lists!$R$1:$S$15,2,FALSE)</f>
        <v>#N/A</v>
      </c>
      <c r="N542" s="37"/>
    </row>
    <row r="543" spans="1:14" s="24" customFormat="1" x14ac:dyDescent="0.25">
      <c r="A543" s="32"/>
      <c r="B543" s="33"/>
      <c r="C543" s="33"/>
      <c r="D543" s="33"/>
      <c r="E543" s="44" t="e">
        <f>VLOOKUP(A543,Lists!$U$1:$V$121,2,FALSE)</f>
        <v>#N/A</v>
      </c>
      <c r="F543" s="34"/>
      <c r="G543" s="35"/>
      <c r="H543" s="35"/>
      <c r="I543" s="48">
        <f t="shared" si="8"/>
        <v>0</v>
      </c>
      <c r="J543" s="36"/>
      <c r="K543" s="36"/>
      <c r="L543" s="39" t="e">
        <f>VLOOKUP('Time Tracking'!$D543,Lists!O:P,2,FALSE)</f>
        <v>#N/A</v>
      </c>
      <c r="M543" s="51" t="e">
        <f>VLOOKUP(C543,Lists!$R$1:$S$15,2,FALSE)</f>
        <v>#N/A</v>
      </c>
      <c r="N543" s="37"/>
    </row>
    <row r="544" spans="1:14" s="24" customFormat="1" x14ac:dyDescent="0.25">
      <c r="A544" s="32"/>
      <c r="B544" s="33"/>
      <c r="C544" s="33"/>
      <c r="D544" s="33"/>
      <c r="E544" s="44" t="e">
        <f>VLOOKUP(A544,Lists!$U$1:$V$121,2,FALSE)</f>
        <v>#N/A</v>
      </c>
      <c r="F544" s="34"/>
      <c r="G544" s="35"/>
      <c r="H544" s="35"/>
      <c r="I544" s="48">
        <f t="shared" si="8"/>
        <v>0</v>
      </c>
      <c r="J544" s="36"/>
      <c r="K544" s="36"/>
      <c r="L544" s="39" t="e">
        <f>VLOOKUP('Time Tracking'!$D544,Lists!O:P,2,FALSE)</f>
        <v>#N/A</v>
      </c>
      <c r="M544" s="51" t="e">
        <f>VLOOKUP(C544,Lists!$R$1:$S$15,2,FALSE)</f>
        <v>#N/A</v>
      </c>
      <c r="N544" s="37"/>
    </row>
    <row r="545" spans="1:14" s="24" customFormat="1" x14ac:dyDescent="0.25">
      <c r="A545" s="32"/>
      <c r="B545" s="33"/>
      <c r="C545" s="33"/>
      <c r="D545" s="33"/>
      <c r="E545" s="44" t="e">
        <f>VLOOKUP(A545,Lists!$U$1:$V$121,2,FALSE)</f>
        <v>#N/A</v>
      </c>
      <c r="F545" s="34"/>
      <c r="G545" s="35"/>
      <c r="H545" s="35"/>
      <c r="I545" s="48">
        <f t="shared" si="8"/>
        <v>0</v>
      </c>
      <c r="J545" s="36"/>
      <c r="K545" s="36"/>
      <c r="L545" s="39" t="e">
        <f>VLOOKUP('Time Tracking'!$D545,Lists!O:P,2,FALSE)</f>
        <v>#N/A</v>
      </c>
      <c r="M545" s="51" t="e">
        <f>VLOOKUP(C545,Lists!$R$1:$S$15,2,FALSE)</f>
        <v>#N/A</v>
      </c>
      <c r="N545" s="37"/>
    </row>
    <row r="546" spans="1:14" s="24" customFormat="1" x14ac:dyDescent="0.25">
      <c r="A546" s="32"/>
      <c r="B546" s="33"/>
      <c r="C546" s="33"/>
      <c r="D546" s="33"/>
      <c r="E546" s="44" t="e">
        <f>VLOOKUP(A546,Lists!$U$1:$V$121,2,FALSE)</f>
        <v>#N/A</v>
      </c>
      <c r="F546" s="34"/>
      <c r="G546" s="35"/>
      <c r="H546" s="35"/>
      <c r="I546" s="48">
        <f t="shared" si="8"/>
        <v>0</v>
      </c>
      <c r="J546" s="36"/>
      <c r="K546" s="36"/>
      <c r="L546" s="39" t="e">
        <f>VLOOKUP('Time Tracking'!$D546,Lists!O:P,2,FALSE)</f>
        <v>#N/A</v>
      </c>
      <c r="M546" s="51" t="e">
        <f>VLOOKUP(C546,Lists!$R$1:$S$15,2,FALSE)</f>
        <v>#N/A</v>
      </c>
      <c r="N546" s="37"/>
    </row>
    <row r="547" spans="1:14" s="24" customFormat="1" x14ac:dyDescent="0.25">
      <c r="A547" s="32"/>
      <c r="B547" s="33"/>
      <c r="C547" s="33"/>
      <c r="D547" s="33"/>
      <c r="E547" s="44" t="e">
        <f>VLOOKUP(A547,Lists!$U$1:$V$121,2,FALSE)</f>
        <v>#N/A</v>
      </c>
      <c r="F547" s="34"/>
      <c r="G547" s="35"/>
      <c r="H547" s="35"/>
      <c r="I547" s="48">
        <f t="shared" si="8"/>
        <v>0</v>
      </c>
      <c r="J547" s="36"/>
      <c r="K547" s="36"/>
      <c r="L547" s="39" t="e">
        <f>VLOOKUP('Time Tracking'!$D547,Lists!O:P,2,FALSE)</f>
        <v>#N/A</v>
      </c>
      <c r="M547" s="51" t="e">
        <f>VLOOKUP(C547,Lists!$R$1:$S$15,2,FALSE)</f>
        <v>#N/A</v>
      </c>
      <c r="N547" s="37"/>
    </row>
    <row r="548" spans="1:14" s="24" customFormat="1" x14ac:dyDescent="0.25">
      <c r="A548" s="32"/>
      <c r="B548" s="33"/>
      <c r="C548" s="33"/>
      <c r="D548" s="33"/>
      <c r="E548" s="44" t="e">
        <f>VLOOKUP(A548,Lists!$U$1:$V$121,2,FALSE)</f>
        <v>#N/A</v>
      </c>
      <c r="F548" s="34"/>
      <c r="G548" s="35"/>
      <c r="H548" s="35"/>
      <c r="I548" s="48">
        <f t="shared" si="8"/>
        <v>0</v>
      </c>
      <c r="J548" s="36"/>
      <c r="K548" s="36"/>
      <c r="L548" s="39" t="e">
        <f>VLOOKUP('Time Tracking'!$D548,Lists!O:P,2,FALSE)</f>
        <v>#N/A</v>
      </c>
      <c r="M548" s="51" t="e">
        <f>VLOOKUP(C548,Lists!$R$1:$S$15,2,FALSE)</f>
        <v>#N/A</v>
      </c>
      <c r="N548" s="37"/>
    </row>
    <row r="549" spans="1:14" s="24" customFormat="1" x14ac:dyDescent="0.25">
      <c r="A549" s="32"/>
      <c r="B549" s="33"/>
      <c r="C549" s="33"/>
      <c r="D549" s="33"/>
      <c r="E549" s="44" t="e">
        <f>VLOOKUP(A549,Lists!$U$1:$V$121,2,FALSE)</f>
        <v>#N/A</v>
      </c>
      <c r="F549" s="34"/>
      <c r="G549" s="35"/>
      <c r="H549" s="35"/>
      <c r="I549" s="48">
        <f t="shared" si="8"/>
        <v>0</v>
      </c>
      <c r="J549" s="36"/>
      <c r="K549" s="36"/>
      <c r="L549" s="39" t="e">
        <f>VLOOKUP('Time Tracking'!$D549,Lists!O:P,2,FALSE)</f>
        <v>#N/A</v>
      </c>
      <c r="M549" s="51" t="e">
        <f>VLOOKUP(C549,Lists!$R$1:$S$15,2,FALSE)</f>
        <v>#N/A</v>
      </c>
      <c r="N549" s="37"/>
    </row>
    <row r="550" spans="1:14" s="24" customFormat="1" x14ac:dyDescent="0.25">
      <c r="A550" s="32"/>
      <c r="B550" s="33"/>
      <c r="C550" s="33"/>
      <c r="D550" s="33"/>
      <c r="E550" s="44" t="e">
        <f>VLOOKUP(A550,Lists!$U$1:$V$121,2,FALSE)</f>
        <v>#N/A</v>
      </c>
      <c r="F550" s="34"/>
      <c r="G550" s="35"/>
      <c r="H550" s="35"/>
      <c r="I550" s="48">
        <f t="shared" si="8"/>
        <v>0</v>
      </c>
      <c r="J550" s="36"/>
      <c r="K550" s="36"/>
      <c r="L550" s="39" t="e">
        <f>VLOOKUP('Time Tracking'!$D550,Lists!O:P,2,FALSE)</f>
        <v>#N/A</v>
      </c>
      <c r="M550" s="51" t="e">
        <f>VLOOKUP(C550,Lists!$R$1:$S$15,2,FALSE)</f>
        <v>#N/A</v>
      </c>
      <c r="N550" s="37"/>
    </row>
    <row r="551" spans="1:14" s="24" customFormat="1" x14ac:dyDescent="0.25">
      <c r="A551" s="32"/>
      <c r="B551" s="33"/>
      <c r="C551" s="33"/>
      <c r="D551" s="33"/>
      <c r="E551" s="44" t="e">
        <f>VLOOKUP(A551,Lists!$U$1:$V$121,2,FALSE)</f>
        <v>#N/A</v>
      </c>
      <c r="F551" s="34"/>
      <c r="G551" s="35"/>
      <c r="H551" s="35"/>
      <c r="I551" s="48">
        <f t="shared" si="8"/>
        <v>0</v>
      </c>
      <c r="J551" s="36"/>
      <c r="K551" s="36"/>
      <c r="L551" s="39" t="e">
        <f>VLOOKUP('Time Tracking'!$D551,Lists!O:P,2,FALSE)</f>
        <v>#N/A</v>
      </c>
      <c r="M551" s="51" t="e">
        <f>VLOOKUP(C551,Lists!$R$1:$S$15,2,FALSE)</f>
        <v>#N/A</v>
      </c>
      <c r="N551" s="37"/>
    </row>
    <row r="552" spans="1:14" s="24" customFormat="1" x14ac:dyDescent="0.25">
      <c r="A552" s="32"/>
      <c r="B552" s="33"/>
      <c r="C552" s="33"/>
      <c r="D552" s="33"/>
      <c r="E552" s="44" t="e">
        <f>VLOOKUP(A552,Lists!$U$1:$V$121,2,FALSE)</f>
        <v>#N/A</v>
      </c>
      <c r="F552" s="34"/>
      <c r="G552" s="35"/>
      <c r="H552" s="35"/>
      <c r="I552" s="48">
        <f t="shared" si="8"/>
        <v>0</v>
      </c>
      <c r="J552" s="36"/>
      <c r="K552" s="36"/>
      <c r="L552" s="39" t="e">
        <f>VLOOKUP('Time Tracking'!$D552,Lists!O:P,2,FALSE)</f>
        <v>#N/A</v>
      </c>
      <c r="M552" s="51" t="e">
        <f>VLOOKUP(C552,Lists!$R$1:$S$15,2,FALSE)</f>
        <v>#N/A</v>
      </c>
      <c r="N552" s="37"/>
    </row>
    <row r="553" spans="1:14" s="24" customFormat="1" x14ac:dyDescent="0.25">
      <c r="A553" s="32"/>
      <c r="B553" s="33"/>
      <c r="C553" s="33"/>
      <c r="D553" s="33"/>
      <c r="E553" s="44" t="e">
        <f>VLOOKUP(A553,Lists!$U$1:$V$121,2,FALSE)</f>
        <v>#N/A</v>
      </c>
      <c r="F553" s="34"/>
      <c r="G553" s="35"/>
      <c r="H553" s="35"/>
      <c r="I553" s="48">
        <f t="shared" si="8"/>
        <v>0</v>
      </c>
      <c r="J553" s="36"/>
      <c r="K553" s="36"/>
      <c r="L553" s="39" t="e">
        <f>VLOOKUP('Time Tracking'!$D553,Lists!O:P,2,FALSE)</f>
        <v>#N/A</v>
      </c>
      <c r="M553" s="51" t="e">
        <f>VLOOKUP(C553,Lists!$R$1:$S$15,2,FALSE)</f>
        <v>#N/A</v>
      </c>
      <c r="N553" s="37"/>
    </row>
    <row r="554" spans="1:14" s="24" customFormat="1" x14ac:dyDescent="0.25">
      <c r="A554" s="32"/>
      <c r="B554" s="33"/>
      <c r="C554" s="33"/>
      <c r="D554" s="33"/>
      <c r="E554" s="44" t="e">
        <f>VLOOKUP(A554,Lists!$U$1:$V$121,2,FALSE)</f>
        <v>#N/A</v>
      </c>
      <c r="F554" s="34"/>
      <c r="G554" s="35"/>
      <c r="H554" s="35"/>
      <c r="I554" s="48">
        <f t="shared" si="8"/>
        <v>0</v>
      </c>
      <c r="J554" s="36"/>
      <c r="K554" s="36"/>
      <c r="L554" s="39" t="e">
        <f>VLOOKUP('Time Tracking'!$D554,Lists!O:P,2,FALSE)</f>
        <v>#N/A</v>
      </c>
      <c r="M554" s="51" t="e">
        <f>VLOOKUP(C554,Lists!$R$1:$S$15,2,FALSE)</f>
        <v>#N/A</v>
      </c>
      <c r="N554" s="37"/>
    </row>
    <row r="555" spans="1:14" s="24" customFormat="1" x14ac:dyDescent="0.25">
      <c r="A555" s="32"/>
      <c r="B555" s="33"/>
      <c r="C555" s="33"/>
      <c r="D555" s="33"/>
      <c r="E555" s="44" t="e">
        <f>VLOOKUP(A555,Lists!$U$1:$V$121,2,FALSE)</f>
        <v>#N/A</v>
      </c>
      <c r="F555" s="34"/>
      <c r="G555" s="35"/>
      <c r="H555" s="35"/>
      <c r="I555" s="48">
        <f t="shared" si="8"/>
        <v>0</v>
      </c>
      <c r="J555" s="36"/>
      <c r="K555" s="36"/>
      <c r="L555" s="39" t="e">
        <f>VLOOKUP('Time Tracking'!$D555,Lists!O:P,2,FALSE)</f>
        <v>#N/A</v>
      </c>
      <c r="M555" s="51" t="e">
        <f>VLOOKUP(C555,Lists!$R$1:$S$15,2,FALSE)</f>
        <v>#N/A</v>
      </c>
      <c r="N555" s="37"/>
    </row>
    <row r="556" spans="1:14" s="24" customFormat="1" x14ac:dyDescent="0.25">
      <c r="A556" s="32"/>
      <c r="B556" s="33"/>
      <c r="C556" s="33"/>
      <c r="D556" s="33"/>
      <c r="E556" s="44" t="e">
        <f>VLOOKUP(A556,Lists!$U$1:$V$121,2,FALSE)</f>
        <v>#N/A</v>
      </c>
      <c r="F556" s="34"/>
      <c r="G556" s="35"/>
      <c r="H556" s="35"/>
      <c r="I556" s="48">
        <f t="shared" si="8"/>
        <v>0</v>
      </c>
      <c r="J556" s="36"/>
      <c r="K556" s="36"/>
      <c r="L556" s="39" t="e">
        <f>VLOOKUP('Time Tracking'!$D556,Lists!O:P,2,FALSE)</f>
        <v>#N/A</v>
      </c>
      <c r="M556" s="51" t="e">
        <f>VLOOKUP(C556,Lists!$R$1:$S$15,2,FALSE)</f>
        <v>#N/A</v>
      </c>
      <c r="N556" s="37"/>
    </row>
    <row r="557" spans="1:14" s="24" customFormat="1" x14ac:dyDescent="0.25">
      <c r="A557" s="32"/>
      <c r="B557" s="33"/>
      <c r="C557" s="33"/>
      <c r="D557" s="33"/>
      <c r="E557" s="44" t="e">
        <f>VLOOKUP(A557,Lists!$U$1:$V$121,2,FALSE)</f>
        <v>#N/A</v>
      </c>
      <c r="F557" s="34"/>
      <c r="G557" s="35"/>
      <c r="H557" s="35"/>
      <c r="I557" s="48">
        <f t="shared" si="8"/>
        <v>0</v>
      </c>
      <c r="J557" s="36"/>
      <c r="K557" s="36"/>
      <c r="L557" s="39" t="e">
        <f>VLOOKUP('Time Tracking'!$D557,Lists!O:P,2,FALSE)</f>
        <v>#N/A</v>
      </c>
      <c r="M557" s="51" t="e">
        <f>VLOOKUP(C557,Lists!$R$1:$S$15,2,FALSE)</f>
        <v>#N/A</v>
      </c>
      <c r="N557" s="37"/>
    </row>
    <row r="558" spans="1:14" s="24" customFormat="1" x14ac:dyDescent="0.25">
      <c r="A558" s="32"/>
      <c r="B558" s="33"/>
      <c r="C558" s="33"/>
      <c r="D558" s="33"/>
      <c r="E558" s="44" t="e">
        <f>VLOOKUP(A558,Lists!$U$1:$V$121,2,FALSE)</f>
        <v>#N/A</v>
      </c>
      <c r="F558" s="34"/>
      <c r="G558" s="35"/>
      <c r="H558" s="35"/>
      <c r="I558" s="48">
        <f t="shared" si="8"/>
        <v>0</v>
      </c>
      <c r="J558" s="36"/>
      <c r="K558" s="36"/>
      <c r="L558" s="39" t="e">
        <f>VLOOKUP('Time Tracking'!$D558,Lists!O:P,2,FALSE)</f>
        <v>#N/A</v>
      </c>
      <c r="M558" s="51" t="e">
        <f>VLOOKUP(C558,Lists!$R$1:$S$15,2,FALSE)</f>
        <v>#N/A</v>
      </c>
      <c r="N558" s="37"/>
    </row>
    <row r="559" spans="1:14" s="24" customFormat="1" x14ac:dyDescent="0.25">
      <c r="A559" s="32"/>
      <c r="B559" s="33"/>
      <c r="C559" s="33"/>
      <c r="D559" s="33"/>
      <c r="E559" s="44" t="e">
        <f>VLOOKUP(A559,Lists!$U$1:$V$121,2,FALSE)</f>
        <v>#N/A</v>
      </c>
      <c r="F559" s="34"/>
      <c r="G559" s="35"/>
      <c r="H559" s="35"/>
      <c r="I559" s="48">
        <f t="shared" si="8"/>
        <v>0</v>
      </c>
      <c r="J559" s="36"/>
      <c r="K559" s="36"/>
      <c r="L559" s="39" t="e">
        <f>VLOOKUP('Time Tracking'!$D559,Lists!O:P,2,FALSE)</f>
        <v>#N/A</v>
      </c>
      <c r="M559" s="51" t="e">
        <f>VLOOKUP(C559,Lists!$R$1:$S$15,2,FALSE)</f>
        <v>#N/A</v>
      </c>
      <c r="N559" s="37"/>
    </row>
    <row r="560" spans="1:14" s="24" customFormat="1" x14ac:dyDescent="0.25">
      <c r="A560" s="32"/>
      <c r="B560" s="33"/>
      <c r="C560" s="33"/>
      <c r="D560" s="33"/>
      <c r="E560" s="44" t="e">
        <f>VLOOKUP(A560,Lists!$U$1:$V$121,2,FALSE)</f>
        <v>#N/A</v>
      </c>
      <c r="F560" s="34"/>
      <c r="G560" s="35"/>
      <c r="H560" s="35"/>
      <c r="I560" s="48">
        <f t="shared" si="8"/>
        <v>0</v>
      </c>
      <c r="J560" s="36"/>
      <c r="K560" s="36"/>
      <c r="L560" s="39" t="e">
        <f>VLOOKUP('Time Tracking'!$D560,Lists!O:P,2,FALSE)</f>
        <v>#N/A</v>
      </c>
      <c r="M560" s="51" t="e">
        <f>VLOOKUP(C560,Lists!$R$1:$S$15,2,FALSE)</f>
        <v>#N/A</v>
      </c>
      <c r="N560" s="37"/>
    </row>
    <row r="561" spans="1:14" s="24" customFormat="1" x14ac:dyDescent="0.25">
      <c r="A561" s="32"/>
      <c r="B561" s="33"/>
      <c r="C561" s="33"/>
      <c r="D561" s="33"/>
      <c r="E561" s="44" t="e">
        <f>VLOOKUP(A561,Lists!$U$1:$V$121,2,FALSE)</f>
        <v>#N/A</v>
      </c>
      <c r="F561" s="34"/>
      <c r="G561" s="35"/>
      <c r="H561" s="35"/>
      <c r="I561" s="48">
        <f t="shared" si="8"/>
        <v>0</v>
      </c>
      <c r="J561" s="36"/>
      <c r="K561" s="36"/>
      <c r="L561" s="39" t="e">
        <f>VLOOKUP('Time Tracking'!$D561,Lists!O:P,2,FALSE)</f>
        <v>#N/A</v>
      </c>
      <c r="M561" s="51" t="e">
        <f>VLOOKUP(C561,Lists!$R$1:$S$15,2,FALSE)</f>
        <v>#N/A</v>
      </c>
      <c r="N561" s="37"/>
    </row>
    <row r="562" spans="1:14" s="24" customFormat="1" x14ac:dyDescent="0.25">
      <c r="A562" s="32"/>
      <c r="B562" s="33"/>
      <c r="C562" s="33"/>
      <c r="D562" s="33"/>
      <c r="E562" s="44" t="e">
        <f>VLOOKUP(A562,Lists!$U$1:$V$121,2,FALSE)</f>
        <v>#N/A</v>
      </c>
      <c r="F562" s="34"/>
      <c r="G562" s="35"/>
      <c r="H562" s="35"/>
      <c r="I562" s="48">
        <f t="shared" si="8"/>
        <v>0</v>
      </c>
      <c r="J562" s="36"/>
      <c r="K562" s="36"/>
      <c r="L562" s="39" t="e">
        <f>VLOOKUP('Time Tracking'!$D562,Lists!O:P,2,FALSE)</f>
        <v>#N/A</v>
      </c>
      <c r="M562" s="51" t="e">
        <f>VLOOKUP(C562,Lists!$R$1:$S$15,2,FALSE)</f>
        <v>#N/A</v>
      </c>
      <c r="N562" s="37"/>
    </row>
    <row r="563" spans="1:14" s="24" customFormat="1" x14ac:dyDescent="0.25">
      <c r="A563" s="32"/>
      <c r="B563" s="33"/>
      <c r="C563" s="33"/>
      <c r="D563" s="33"/>
      <c r="E563" s="44" t="e">
        <f>VLOOKUP(A563,Lists!$U$1:$V$121,2,FALSE)</f>
        <v>#N/A</v>
      </c>
      <c r="F563" s="34"/>
      <c r="G563" s="35"/>
      <c r="H563" s="35"/>
      <c r="I563" s="48">
        <f t="shared" si="8"/>
        <v>0</v>
      </c>
      <c r="J563" s="36"/>
      <c r="K563" s="36"/>
      <c r="L563" s="39" t="e">
        <f>VLOOKUP('Time Tracking'!$D563,Lists!O:P,2,FALSE)</f>
        <v>#N/A</v>
      </c>
      <c r="M563" s="51" t="e">
        <f>VLOOKUP(C563,Lists!$R$1:$S$15,2,FALSE)</f>
        <v>#N/A</v>
      </c>
      <c r="N563" s="37"/>
    </row>
    <row r="564" spans="1:14" s="24" customFormat="1" x14ac:dyDescent="0.25">
      <c r="A564" s="32"/>
      <c r="B564" s="33"/>
      <c r="C564" s="33"/>
      <c r="D564" s="33"/>
      <c r="E564" s="44" t="e">
        <f>VLOOKUP(A564,Lists!$U$1:$V$121,2,FALSE)</f>
        <v>#N/A</v>
      </c>
      <c r="F564" s="34"/>
      <c r="G564" s="35"/>
      <c r="H564" s="35"/>
      <c r="I564" s="48">
        <f t="shared" si="8"/>
        <v>0</v>
      </c>
      <c r="J564" s="36"/>
      <c r="K564" s="36"/>
      <c r="L564" s="39" t="e">
        <f>VLOOKUP('Time Tracking'!$D564,Lists!O:P,2,FALSE)</f>
        <v>#N/A</v>
      </c>
      <c r="M564" s="51" t="e">
        <f>VLOOKUP(C564,Lists!$R$1:$S$15,2,FALSE)</f>
        <v>#N/A</v>
      </c>
      <c r="N564" s="37"/>
    </row>
    <row r="565" spans="1:14" s="24" customFormat="1" x14ac:dyDescent="0.25">
      <c r="A565" s="32"/>
      <c r="B565" s="33"/>
      <c r="C565" s="33"/>
      <c r="D565" s="33"/>
      <c r="E565" s="44" t="e">
        <f>VLOOKUP(A565,Lists!$U$1:$V$121,2,FALSE)</f>
        <v>#N/A</v>
      </c>
      <c r="F565" s="34"/>
      <c r="G565" s="35"/>
      <c r="H565" s="35"/>
      <c r="I565" s="48">
        <f t="shared" si="8"/>
        <v>0</v>
      </c>
      <c r="J565" s="36"/>
      <c r="K565" s="36"/>
      <c r="L565" s="39" t="e">
        <f>VLOOKUP('Time Tracking'!$D565,Lists!O:P,2,FALSE)</f>
        <v>#N/A</v>
      </c>
      <c r="M565" s="51" t="e">
        <f>VLOOKUP(C565,Lists!$R$1:$S$15,2,FALSE)</f>
        <v>#N/A</v>
      </c>
      <c r="N565" s="37"/>
    </row>
    <row r="566" spans="1:14" s="24" customFormat="1" x14ac:dyDescent="0.25">
      <c r="A566" s="32"/>
      <c r="B566" s="33"/>
      <c r="C566" s="33"/>
      <c r="D566" s="33"/>
      <c r="E566" s="44" t="e">
        <f>VLOOKUP(A566,Lists!$U$1:$V$121,2,FALSE)</f>
        <v>#N/A</v>
      </c>
      <c r="F566" s="34"/>
      <c r="G566" s="35"/>
      <c r="H566" s="35"/>
      <c r="I566" s="48">
        <f t="shared" si="8"/>
        <v>0</v>
      </c>
      <c r="J566" s="36"/>
      <c r="K566" s="36"/>
      <c r="L566" s="39" t="e">
        <f>VLOOKUP('Time Tracking'!$D566,Lists!O:P,2,FALSE)</f>
        <v>#N/A</v>
      </c>
      <c r="M566" s="51" t="e">
        <f>VLOOKUP(C566,Lists!$R$1:$S$15,2,FALSE)</f>
        <v>#N/A</v>
      </c>
      <c r="N566" s="37"/>
    </row>
    <row r="567" spans="1:14" s="24" customFormat="1" x14ac:dyDescent="0.25">
      <c r="A567" s="32"/>
      <c r="B567" s="33"/>
      <c r="C567" s="33"/>
      <c r="D567" s="33"/>
      <c r="E567" s="44" t="e">
        <f>VLOOKUP(A567,Lists!$U$1:$V$121,2,FALSE)</f>
        <v>#N/A</v>
      </c>
      <c r="F567" s="34"/>
      <c r="G567" s="35"/>
      <c r="H567" s="35"/>
      <c r="I567" s="48">
        <f t="shared" si="8"/>
        <v>0</v>
      </c>
      <c r="J567" s="36"/>
      <c r="K567" s="36"/>
      <c r="L567" s="39" t="e">
        <f>VLOOKUP('Time Tracking'!$D567,Lists!O:P,2,FALSE)</f>
        <v>#N/A</v>
      </c>
      <c r="M567" s="51" t="e">
        <f>VLOOKUP(C567,Lists!$R$1:$S$15,2,FALSE)</f>
        <v>#N/A</v>
      </c>
      <c r="N567" s="37"/>
    </row>
    <row r="568" spans="1:14" s="24" customFormat="1" x14ac:dyDescent="0.25">
      <c r="A568" s="32"/>
      <c r="B568" s="33"/>
      <c r="C568" s="33"/>
      <c r="D568" s="33"/>
      <c r="E568" s="44" t="e">
        <f>VLOOKUP(A568,Lists!$U$1:$V$121,2,FALSE)</f>
        <v>#N/A</v>
      </c>
      <c r="F568" s="34"/>
      <c r="G568" s="35"/>
      <c r="H568" s="35"/>
      <c r="I568" s="48">
        <f t="shared" si="8"/>
        <v>0</v>
      </c>
      <c r="J568" s="36"/>
      <c r="K568" s="36"/>
      <c r="L568" s="39" t="e">
        <f>VLOOKUP('Time Tracking'!$D568,Lists!O:P,2,FALSE)</f>
        <v>#N/A</v>
      </c>
      <c r="M568" s="51" t="e">
        <f>VLOOKUP(C568,Lists!$R$1:$S$15,2,FALSE)</f>
        <v>#N/A</v>
      </c>
      <c r="N568" s="37"/>
    </row>
    <row r="569" spans="1:14" s="24" customFormat="1" x14ac:dyDescent="0.25">
      <c r="A569" s="32"/>
      <c r="B569" s="33"/>
      <c r="C569" s="33"/>
      <c r="D569" s="33"/>
      <c r="E569" s="44" t="e">
        <f>VLOOKUP(A569,Lists!$U$1:$V$121,2,FALSE)</f>
        <v>#N/A</v>
      </c>
      <c r="F569" s="34"/>
      <c r="G569" s="35"/>
      <c r="H569" s="35"/>
      <c r="I569" s="48">
        <f t="shared" si="8"/>
        <v>0</v>
      </c>
      <c r="J569" s="36"/>
      <c r="K569" s="36"/>
      <c r="L569" s="39" t="e">
        <f>VLOOKUP('Time Tracking'!$D569,Lists!O:P,2,FALSE)</f>
        <v>#N/A</v>
      </c>
      <c r="M569" s="51" t="e">
        <f>VLOOKUP(C569,Lists!$R$1:$S$15,2,FALSE)</f>
        <v>#N/A</v>
      </c>
      <c r="N569" s="37"/>
    </row>
    <row r="570" spans="1:14" s="24" customFormat="1" x14ac:dyDescent="0.25">
      <c r="A570" s="32"/>
      <c r="B570" s="33"/>
      <c r="C570" s="33"/>
      <c r="D570" s="33"/>
      <c r="E570" s="44" t="e">
        <f>VLOOKUP(A570,Lists!$U$1:$V$121,2,FALSE)</f>
        <v>#N/A</v>
      </c>
      <c r="F570" s="34"/>
      <c r="G570" s="35"/>
      <c r="H570" s="35"/>
      <c r="I570" s="48">
        <f t="shared" si="8"/>
        <v>0</v>
      </c>
      <c r="J570" s="36"/>
      <c r="K570" s="36"/>
      <c r="L570" s="39" t="e">
        <f>VLOOKUP('Time Tracking'!$D570,Lists!O:P,2,FALSE)</f>
        <v>#N/A</v>
      </c>
      <c r="M570" s="51" t="e">
        <f>VLOOKUP(C570,Lists!$R$1:$S$15,2,FALSE)</f>
        <v>#N/A</v>
      </c>
      <c r="N570" s="37"/>
    </row>
    <row r="571" spans="1:14" s="24" customFormat="1" x14ac:dyDescent="0.25">
      <c r="A571" s="32"/>
      <c r="B571" s="33"/>
      <c r="C571" s="33"/>
      <c r="D571" s="33"/>
      <c r="E571" s="44" t="e">
        <f>VLOOKUP(A571,Lists!$U$1:$V$121,2,FALSE)</f>
        <v>#N/A</v>
      </c>
      <c r="F571" s="34"/>
      <c r="G571" s="35"/>
      <c r="H571" s="35"/>
      <c r="I571" s="48">
        <f t="shared" si="8"/>
        <v>0</v>
      </c>
      <c r="J571" s="36"/>
      <c r="K571" s="36"/>
      <c r="L571" s="39" t="e">
        <f>VLOOKUP('Time Tracking'!$D571,Lists!O:P,2,FALSE)</f>
        <v>#N/A</v>
      </c>
      <c r="M571" s="51" t="e">
        <f>VLOOKUP(C571,Lists!$R$1:$S$15,2,FALSE)</f>
        <v>#N/A</v>
      </c>
      <c r="N571" s="37"/>
    </row>
    <row r="572" spans="1:14" s="24" customFormat="1" x14ac:dyDescent="0.25">
      <c r="A572" s="32"/>
      <c r="B572" s="33"/>
      <c r="C572" s="33"/>
      <c r="D572" s="33"/>
      <c r="E572" s="44" t="e">
        <f>VLOOKUP(A572,Lists!$U$1:$V$121,2,FALSE)</f>
        <v>#N/A</v>
      </c>
      <c r="F572" s="34"/>
      <c r="G572" s="35"/>
      <c r="H572" s="35"/>
      <c r="I572" s="48">
        <f t="shared" si="8"/>
        <v>0</v>
      </c>
      <c r="J572" s="36"/>
      <c r="K572" s="36"/>
      <c r="L572" s="39" t="e">
        <f>VLOOKUP('Time Tracking'!$D572,Lists!O:P,2,FALSE)</f>
        <v>#N/A</v>
      </c>
      <c r="M572" s="51" t="e">
        <f>VLOOKUP(C572,Lists!$R$1:$S$15,2,FALSE)</f>
        <v>#N/A</v>
      </c>
      <c r="N572" s="37"/>
    </row>
    <row r="573" spans="1:14" s="24" customFormat="1" x14ac:dyDescent="0.25">
      <c r="A573" s="32"/>
      <c r="B573" s="33"/>
      <c r="C573" s="33"/>
      <c r="D573" s="33"/>
      <c r="E573" s="44" t="e">
        <f>VLOOKUP(A573,Lists!$U$1:$V$121,2,FALSE)</f>
        <v>#N/A</v>
      </c>
      <c r="F573" s="34"/>
      <c r="G573" s="35"/>
      <c r="H573" s="35"/>
      <c r="I573" s="48">
        <f t="shared" si="8"/>
        <v>0</v>
      </c>
      <c r="J573" s="36"/>
      <c r="K573" s="36"/>
      <c r="L573" s="39" t="e">
        <f>VLOOKUP('Time Tracking'!$D573,Lists!O:P,2,FALSE)</f>
        <v>#N/A</v>
      </c>
      <c r="M573" s="51" t="e">
        <f>VLOOKUP(C573,Lists!$R$1:$S$15,2,FALSE)</f>
        <v>#N/A</v>
      </c>
      <c r="N573" s="37"/>
    </row>
    <row r="574" spans="1:14" s="24" customFormat="1" x14ac:dyDescent="0.25">
      <c r="A574" s="32"/>
      <c r="B574" s="33"/>
      <c r="C574" s="33"/>
      <c r="D574" s="33"/>
      <c r="E574" s="44" t="e">
        <f>VLOOKUP(A574,Lists!$U$1:$V$121,2,FALSE)</f>
        <v>#N/A</v>
      </c>
      <c r="F574" s="34"/>
      <c r="G574" s="35"/>
      <c r="H574" s="35"/>
      <c r="I574" s="48">
        <f t="shared" si="8"/>
        <v>0</v>
      </c>
      <c r="J574" s="36"/>
      <c r="K574" s="36"/>
      <c r="L574" s="39" t="e">
        <f>VLOOKUP('Time Tracking'!$D574,Lists!O:P,2,FALSE)</f>
        <v>#N/A</v>
      </c>
      <c r="M574" s="51" t="e">
        <f>VLOOKUP(C574,Lists!$R$1:$S$15,2,FALSE)</f>
        <v>#N/A</v>
      </c>
      <c r="N574" s="37"/>
    </row>
    <row r="575" spans="1:14" s="24" customFormat="1" x14ac:dyDescent="0.25">
      <c r="A575" s="32"/>
      <c r="B575" s="33"/>
      <c r="C575" s="33"/>
      <c r="D575" s="33"/>
      <c r="E575" s="44" t="e">
        <f>VLOOKUP(A575,Lists!$U$1:$V$121,2,FALSE)</f>
        <v>#N/A</v>
      </c>
      <c r="F575" s="34"/>
      <c r="G575" s="35"/>
      <c r="H575" s="35"/>
      <c r="I575" s="48">
        <f t="shared" si="8"/>
        <v>0</v>
      </c>
      <c r="J575" s="36"/>
      <c r="K575" s="36"/>
      <c r="L575" s="39" t="e">
        <f>VLOOKUP('Time Tracking'!$D575,Lists!O:P,2,FALSE)</f>
        <v>#N/A</v>
      </c>
      <c r="M575" s="51" t="e">
        <f>VLOOKUP(C575,Lists!$R$1:$S$15,2,FALSE)</f>
        <v>#N/A</v>
      </c>
      <c r="N575" s="37"/>
    </row>
    <row r="576" spans="1:14" s="24" customFormat="1" x14ac:dyDescent="0.25">
      <c r="A576" s="32"/>
      <c r="B576" s="33"/>
      <c r="C576" s="33"/>
      <c r="D576" s="33"/>
      <c r="E576" s="44" t="e">
        <f>VLOOKUP(A576,Lists!$U$1:$V$121,2,FALSE)</f>
        <v>#N/A</v>
      </c>
      <c r="F576" s="34"/>
      <c r="G576" s="35"/>
      <c r="H576" s="35"/>
      <c r="I576" s="48">
        <f t="shared" si="8"/>
        <v>0</v>
      </c>
      <c r="J576" s="36"/>
      <c r="K576" s="36"/>
      <c r="L576" s="39" t="e">
        <f>VLOOKUP('Time Tracking'!$D576,Lists!O:P,2,FALSE)</f>
        <v>#N/A</v>
      </c>
      <c r="M576" s="51" t="e">
        <f>VLOOKUP(C576,Lists!$R$1:$S$15,2,FALSE)</f>
        <v>#N/A</v>
      </c>
      <c r="N576" s="37"/>
    </row>
    <row r="577" spans="1:14" s="24" customFormat="1" x14ac:dyDescent="0.25">
      <c r="A577" s="32"/>
      <c r="B577" s="33"/>
      <c r="C577" s="33"/>
      <c r="D577" s="33"/>
      <c r="E577" s="44" t="e">
        <f>VLOOKUP(A577,Lists!$U$1:$V$121,2,FALSE)</f>
        <v>#N/A</v>
      </c>
      <c r="F577" s="34"/>
      <c r="G577" s="35"/>
      <c r="H577" s="35"/>
      <c r="I577" s="48">
        <f t="shared" si="8"/>
        <v>0</v>
      </c>
      <c r="J577" s="36"/>
      <c r="K577" s="36"/>
      <c r="L577" s="39" t="e">
        <f>VLOOKUP('Time Tracking'!$D577,Lists!O:P,2,FALSE)</f>
        <v>#N/A</v>
      </c>
      <c r="M577" s="51" t="e">
        <f>VLOOKUP(C577,Lists!$R$1:$S$15,2,FALSE)</f>
        <v>#N/A</v>
      </c>
      <c r="N577" s="37"/>
    </row>
    <row r="578" spans="1:14" s="24" customFormat="1" x14ac:dyDescent="0.25">
      <c r="A578" s="32"/>
      <c r="B578" s="33"/>
      <c r="C578" s="33"/>
      <c r="D578" s="33"/>
      <c r="E578" s="44" t="e">
        <f>VLOOKUP(A578,Lists!$U$1:$V$121,2,FALSE)</f>
        <v>#N/A</v>
      </c>
      <c r="F578" s="34"/>
      <c r="G578" s="35"/>
      <c r="H578" s="35"/>
      <c r="I578" s="48">
        <f t="shared" ref="I578:I641" si="9">(IFERROR(TEXT(H578-G578,"h:mm"),"0:00"))*24</f>
        <v>0</v>
      </c>
      <c r="J578" s="36"/>
      <c r="K578" s="36"/>
      <c r="L578" s="39" t="e">
        <f>VLOOKUP('Time Tracking'!$D578,Lists!O:P,2,FALSE)</f>
        <v>#N/A</v>
      </c>
      <c r="M578" s="51" t="e">
        <f>VLOOKUP(C578,Lists!$R$1:$S$15,2,FALSE)</f>
        <v>#N/A</v>
      </c>
      <c r="N578" s="37"/>
    </row>
    <row r="579" spans="1:14" s="24" customFormat="1" x14ac:dyDescent="0.25">
      <c r="A579" s="32"/>
      <c r="B579" s="33"/>
      <c r="C579" s="33"/>
      <c r="D579" s="33"/>
      <c r="E579" s="44" t="e">
        <f>VLOOKUP(A579,Lists!$U$1:$V$121,2,FALSE)</f>
        <v>#N/A</v>
      </c>
      <c r="F579" s="34"/>
      <c r="G579" s="35"/>
      <c r="H579" s="35"/>
      <c r="I579" s="48">
        <f t="shared" si="9"/>
        <v>0</v>
      </c>
      <c r="J579" s="36"/>
      <c r="K579" s="36"/>
      <c r="L579" s="39" t="e">
        <f>VLOOKUP('Time Tracking'!$D579,Lists!O:P,2,FALSE)</f>
        <v>#N/A</v>
      </c>
      <c r="M579" s="51" t="e">
        <f>VLOOKUP(C579,Lists!$R$1:$S$15,2,FALSE)</f>
        <v>#N/A</v>
      </c>
      <c r="N579" s="37"/>
    </row>
    <row r="580" spans="1:14" s="24" customFormat="1" x14ac:dyDescent="0.25">
      <c r="A580" s="32"/>
      <c r="B580" s="33"/>
      <c r="C580" s="33"/>
      <c r="D580" s="33"/>
      <c r="E580" s="44" t="e">
        <f>VLOOKUP(A580,Lists!$U$1:$V$121,2,FALSE)</f>
        <v>#N/A</v>
      </c>
      <c r="F580" s="34"/>
      <c r="G580" s="35"/>
      <c r="H580" s="35"/>
      <c r="I580" s="48">
        <f t="shared" si="9"/>
        <v>0</v>
      </c>
      <c r="J580" s="36"/>
      <c r="K580" s="36"/>
      <c r="L580" s="39" t="e">
        <f>VLOOKUP('Time Tracking'!$D580,Lists!O:P,2,FALSE)</f>
        <v>#N/A</v>
      </c>
      <c r="M580" s="51" t="e">
        <f>VLOOKUP(C580,Lists!$R$1:$S$15,2,FALSE)</f>
        <v>#N/A</v>
      </c>
      <c r="N580" s="37"/>
    </row>
    <row r="581" spans="1:14" s="24" customFormat="1" x14ac:dyDescent="0.25">
      <c r="A581" s="32"/>
      <c r="B581" s="33"/>
      <c r="C581" s="33"/>
      <c r="D581" s="33"/>
      <c r="E581" s="44" t="e">
        <f>VLOOKUP(A581,Lists!$U$1:$V$121,2,FALSE)</f>
        <v>#N/A</v>
      </c>
      <c r="F581" s="34"/>
      <c r="G581" s="35"/>
      <c r="H581" s="35"/>
      <c r="I581" s="48">
        <f t="shared" si="9"/>
        <v>0</v>
      </c>
      <c r="J581" s="36"/>
      <c r="K581" s="36"/>
      <c r="L581" s="39" t="e">
        <f>VLOOKUP('Time Tracking'!$D581,Lists!O:P,2,FALSE)</f>
        <v>#N/A</v>
      </c>
      <c r="M581" s="51" t="e">
        <f>VLOOKUP(C581,Lists!$R$1:$S$15,2,FALSE)</f>
        <v>#N/A</v>
      </c>
      <c r="N581" s="37"/>
    </row>
    <row r="582" spans="1:14" s="24" customFormat="1" x14ac:dyDescent="0.25">
      <c r="A582" s="32"/>
      <c r="B582" s="33"/>
      <c r="C582" s="33"/>
      <c r="D582" s="33"/>
      <c r="E582" s="44" t="e">
        <f>VLOOKUP(A582,Lists!$U$1:$V$121,2,FALSE)</f>
        <v>#N/A</v>
      </c>
      <c r="F582" s="34"/>
      <c r="G582" s="35"/>
      <c r="H582" s="35"/>
      <c r="I582" s="48">
        <f t="shared" si="9"/>
        <v>0</v>
      </c>
      <c r="J582" s="36"/>
      <c r="K582" s="36"/>
      <c r="L582" s="39" t="e">
        <f>VLOOKUP('Time Tracking'!$D582,Lists!O:P,2,FALSE)</f>
        <v>#N/A</v>
      </c>
      <c r="M582" s="51" t="e">
        <f>VLOOKUP(C582,Lists!$R$1:$S$15,2,FALSE)</f>
        <v>#N/A</v>
      </c>
      <c r="N582" s="37"/>
    </row>
    <row r="583" spans="1:14" s="24" customFormat="1" x14ac:dyDescent="0.25">
      <c r="A583" s="32"/>
      <c r="B583" s="33"/>
      <c r="C583" s="33"/>
      <c r="D583" s="33"/>
      <c r="E583" s="44" t="e">
        <f>VLOOKUP(A583,Lists!$U$1:$V$121,2,FALSE)</f>
        <v>#N/A</v>
      </c>
      <c r="F583" s="34"/>
      <c r="G583" s="35"/>
      <c r="H583" s="35"/>
      <c r="I583" s="48">
        <f t="shared" si="9"/>
        <v>0</v>
      </c>
      <c r="J583" s="36"/>
      <c r="K583" s="36"/>
      <c r="L583" s="39" t="e">
        <f>VLOOKUP('Time Tracking'!$D583,Lists!O:P,2,FALSE)</f>
        <v>#N/A</v>
      </c>
      <c r="M583" s="51" t="e">
        <f>VLOOKUP(C583,Lists!$R$1:$S$15,2,FALSE)</f>
        <v>#N/A</v>
      </c>
      <c r="N583" s="37"/>
    </row>
    <row r="584" spans="1:14" s="24" customFormat="1" x14ac:dyDescent="0.25">
      <c r="A584" s="32"/>
      <c r="B584" s="33"/>
      <c r="C584" s="33"/>
      <c r="D584" s="33"/>
      <c r="E584" s="44" t="e">
        <f>VLOOKUP(A584,Lists!$U$1:$V$121,2,FALSE)</f>
        <v>#N/A</v>
      </c>
      <c r="F584" s="34"/>
      <c r="G584" s="35"/>
      <c r="H584" s="35"/>
      <c r="I584" s="48">
        <f t="shared" si="9"/>
        <v>0</v>
      </c>
      <c r="J584" s="36"/>
      <c r="K584" s="36"/>
      <c r="L584" s="39" t="e">
        <f>VLOOKUP('Time Tracking'!$D584,Lists!O:P,2,FALSE)</f>
        <v>#N/A</v>
      </c>
      <c r="M584" s="51" t="e">
        <f>VLOOKUP(C584,Lists!$R$1:$S$15,2,FALSE)</f>
        <v>#N/A</v>
      </c>
      <c r="N584" s="37"/>
    </row>
    <row r="585" spans="1:14" s="24" customFormat="1" x14ac:dyDescent="0.25">
      <c r="A585" s="32"/>
      <c r="B585" s="33"/>
      <c r="C585" s="33"/>
      <c r="D585" s="33"/>
      <c r="E585" s="44" t="e">
        <f>VLOOKUP(A585,Lists!$U$1:$V$121,2,FALSE)</f>
        <v>#N/A</v>
      </c>
      <c r="F585" s="34"/>
      <c r="G585" s="35"/>
      <c r="H585" s="35"/>
      <c r="I585" s="48">
        <f t="shared" si="9"/>
        <v>0</v>
      </c>
      <c r="J585" s="36"/>
      <c r="K585" s="36"/>
      <c r="L585" s="39" t="e">
        <f>VLOOKUP('Time Tracking'!$D585,Lists!O:P,2,FALSE)</f>
        <v>#N/A</v>
      </c>
      <c r="M585" s="51" t="e">
        <f>VLOOKUP(C585,Lists!$R$1:$S$15,2,FALSE)</f>
        <v>#N/A</v>
      </c>
      <c r="N585" s="37"/>
    </row>
    <row r="586" spans="1:14" s="24" customFormat="1" x14ac:dyDescent="0.25">
      <c r="A586" s="32"/>
      <c r="B586" s="33"/>
      <c r="C586" s="33"/>
      <c r="D586" s="33"/>
      <c r="E586" s="44" t="e">
        <f>VLOOKUP(A586,Lists!$U$1:$V$121,2,FALSE)</f>
        <v>#N/A</v>
      </c>
      <c r="F586" s="34"/>
      <c r="G586" s="35"/>
      <c r="H586" s="35"/>
      <c r="I586" s="48">
        <f t="shared" si="9"/>
        <v>0</v>
      </c>
      <c r="J586" s="36"/>
      <c r="K586" s="36"/>
      <c r="L586" s="39" t="e">
        <f>VLOOKUP('Time Tracking'!$D586,Lists!O:P,2,FALSE)</f>
        <v>#N/A</v>
      </c>
      <c r="M586" s="51" t="e">
        <f>VLOOKUP(C586,Lists!$R$1:$S$15,2,FALSE)</f>
        <v>#N/A</v>
      </c>
      <c r="N586" s="37"/>
    </row>
    <row r="587" spans="1:14" s="24" customFormat="1" x14ac:dyDescent="0.25">
      <c r="A587" s="32"/>
      <c r="B587" s="33"/>
      <c r="C587" s="33"/>
      <c r="D587" s="33"/>
      <c r="E587" s="44" t="e">
        <f>VLOOKUP(A587,Lists!$U$1:$V$121,2,FALSE)</f>
        <v>#N/A</v>
      </c>
      <c r="F587" s="34"/>
      <c r="G587" s="35"/>
      <c r="H587" s="35"/>
      <c r="I587" s="48">
        <f t="shared" si="9"/>
        <v>0</v>
      </c>
      <c r="J587" s="36"/>
      <c r="K587" s="36"/>
      <c r="L587" s="39" t="e">
        <f>VLOOKUP('Time Tracking'!$D587,Lists!O:P,2,FALSE)</f>
        <v>#N/A</v>
      </c>
      <c r="M587" s="51" t="e">
        <f>VLOOKUP(C587,Lists!$R$1:$S$15,2,FALSE)</f>
        <v>#N/A</v>
      </c>
      <c r="N587" s="37"/>
    </row>
    <row r="588" spans="1:14" s="24" customFormat="1" x14ac:dyDescent="0.25">
      <c r="A588" s="32"/>
      <c r="B588" s="33"/>
      <c r="C588" s="33"/>
      <c r="D588" s="33"/>
      <c r="E588" s="44" t="e">
        <f>VLOOKUP(A588,Lists!$U$1:$V$121,2,FALSE)</f>
        <v>#N/A</v>
      </c>
      <c r="F588" s="34"/>
      <c r="G588" s="35"/>
      <c r="H588" s="35"/>
      <c r="I588" s="48">
        <f t="shared" si="9"/>
        <v>0</v>
      </c>
      <c r="J588" s="36"/>
      <c r="K588" s="36"/>
      <c r="L588" s="39" t="e">
        <f>VLOOKUP('Time Tracking'!$D588,Lists!O:P,2,FALSE)</f>
        <v>#N/A</v>
      </c>
      <c r="M588" s="51" t="e">
        <f>VLOOKUP(C588,Lists!$R$1:$S$15,2,FALSE)</f>
        <v>#N/A</v>
      </c>
      <c r="N588" s="37"/>
    </row>
    <row r="589" spans="1:14" s="24" customFormat="1" x14ac:dyDescent="0.25">
      <c r="A589" s="32"/>
      <c r="B589" s="33"/>
      <c r="C589" s="33"/>
      <c r="D589" s="33"/>
      <c r="E589" s="44" t="e">
        <f>VLOOKUP(A589,Lists!$U$1:$V$121,2,FALSE)</f>
        <v>#N/A</v>
      </c>
      <c r="F589" s="34"/>
      <c r="G589" s="35"/>
      <c r="H589" s="35"/>
      <c r="I589" s="48">
        <f t="shared" si="9"/>
        <v>0</v>
      </c>
      <c r="J589" s="36"/>
      <c r="K589" s="36"/>
      <c r="L589" s="39" t="e">
        <f>VLOOKUP('Time Tracking'!$D589,Lists!O:P,2,FALSE)</f>
        <v>#N/A</v>
      </c>
      <c r="M589" s="51" t="e">
        <f>VLOOKUP(C589,Lists!$R$1:$S$15,2,FALSE)</f>
        <v>#N/A</v>
      </c>
      <c r="N589" s="37"/>
    </row>
    <row r="590" spans="1:14" s="24" customFormat="1" x14ac:dyDescent="0.25">
      <c r="A590" s="32"/>
      <c r="B590" s="33"/>
      <c r="C590" s="33"/>
      <c r="D590" s="33"/>
      <c r="E590" s="44" t="e">
        <f>VLOOKUP(A590,Lists!$U$1:$V$121,2,FALSE)</f>
        <v>#N/A</v>
      </c>
      <c r="F590" s="34"/>
      <c r="G590" s="35"/>
      <c r="H590" s="35"/>
      <c r="I590" s="48">
        <f t="shared" si="9"/>
        <v>0</v>
      </c>
      <c r="J590" s="36"/>
      <c r="K590" s="36"/>
      <c r="L590" s="39" t="e">
        <f>VLOOKUP('Time Tracking'!$D590,Lists!O:P,2,FALSE)</f>
        <v>#N/A</v>
      </c>
      <c r="M590" s="51" t="e">
        <f>VLOOKUP(C590,Lists!$R$1:$S$15,2,FALSE)</f>
        <v>#N/A</v>
      </c>
      <c r="N590" s="37"/>
    </row>
    <row r="591" spans="1:14" s="24" customFormat="1" x14ac:dyDescent="0.25">
      <c r="A591" s="32"/>
      <c r="B591" s="33"/>
      <c r="C591" s="33"/>
      <c r="D591" s="33"/>
      <c r="E591" s="44" t="e">
        <f>VLOOKUP(A591,Lists!$U$1:$V$121,2,FALSE)</f>
        <v>#N/A</v>
      </c>
      <c r="F591" s="34"/>
      <c r="G591" s="35"/>
      <c r="H591" s="35"/>
      <c r="I591" s="48">
        <f t="shared" si="9"/>
        <v>0</v>
      </c>
      <c r="J591" s="36"/>
      <c r="K591" s="36"/>
      <c r="L591" s="39" t="e">
        <f>VLOOKUP('Time Tracking'!$D591,Lists!O:P,2,FALSE)</f>
        <v>#N/A</v>
      </c>
      <c r="M591" s="51" t="e">
        <f>VLOOKUP(C591,Lists!$R$1:$S$15,2,FALSE)</f>
        <v>#N/A</v>
      </c>
      <c r="N591" s="37"/>
    </row>
    <row r="592" spans="1:14" s="24" customFormat="1" x14ac:dyDescent="0.25">
      <c r="A592" s="32"/>
      <c r="B592" s="33"/>
      <c r="C592" s="33"/>
      <c r="D592" s="33"/>
      <c r="E592" s="44" t="e">
        <f>VLOOKUP(A592,Lists!$U$1:$V$121,2,FALSE)</f>
        <v>#N/A</v>
      </c>
      <c r="F592" s="34"/>
      <c r="G592" s="35"/>
      <c r="H592" s="35"/>
      <c r="I592" s="48">
        <f t="shared" si="9"/>
        <v>0</v>
      </c>
      <c r="J592" s="36"/>
      <c r="K592" s="36"/>
      <c r="L592" s="39" t="e">
        <f>VLOOKUP('Time Tracking'!$D592,Lists!O:P,2,FALSE)</f>
        <v>#N/A</v>
      </c>
      <c r="M592" s="51" t="e">
        <f>VLOOKUP(C592,Lists!$R$1:$S$15,2,FALSE)</f>
        <v>#N/A</v>
      </c>
      <c r="N592" s="37"/>
    </row>
    <row r="593" spans="1:14" s="24" customFormat="1" x14ac:dyDescent="0.25">
      <c r="A593" s="32"/>
      <c r="B593" s="33"/>
      <c r="C593" s="33"/>
      <c r="D593" s="33"/>
      <c r="E593" s="44" t="e">
        <f>VLOOKUP(A593,Lists!$U$1:$V$121,2,FALSE)</f>
        <v>#N/A</v>
      </c>
      <c r="F593" s="34"/>
      <c r="G593" s="35"/>
      <c r="H593" s="35"/>
      <c r="I593" s="48">
        <f t="shared" si="9"/>
        <v>0</v>
      </c>
      <c r="J593" s="36"/>
      <c r="K593" s="36"/>
      <c r="L593" s="39" t="e">
        <f>VLOOKUP('Time Tracking'!$D593,Lists!O:P,2,FALSE)</f>
        <v>#N/A</v>
      </c>
      <c r="M593" s="51" t="e">
        <f>VLOOKUP(C593,Lists!$R$1:$S$15,2,FALSE)</f>
        <v>#N/A</v>
      </c>
      <c r="N593" s="37"/>
    </row>
    <row r="594" spans="1:14" s="24" customFormat="1" x14ac:dyDescent="0.25">
      <c r="A594" s="32"/>
      <c r="B594" s="33"/>
      <c r="C594" s="33"/>
      <c r="D594" s="33"/>
      <c r="E594" s="44" t="e">
        <f>VLOOKUP(A594,Lists!$U$1:$V$121,2,FALSE)</f>
        <v>#N/A</v>
      </c>
      <c r="F594" s="34"/>
      <c r="G594" s="35"/>
      <c r="H594" s="35"/>
      <c r="I594" s="48">
        <f t="shared" si="9"/>
        <v>0</v>
      </c>
      <c r="J594" s="36"/>
      <c r="K594" s="36"/>
      <c r="L594" s="39" t="e">
        <f>VLOOKUP('Time Tracking'!$D594,Lists!O:P,2,FALSE)</f>
        <v>#N/A</v>
      </c>
      <c r="M594" s="51" t="e">
        <f>VLOOKUP(C594,Lists!$R$1:$S$15,2,FALSE)</f>
        <v>#N/A</v>
      </c>
      <c r="N594" s="37"/>
    </row>
    <row r="595" spans="1:14" s="24" customFormat="1" x14ac:dyDescent="0.25">
      <c r="A595" s="32"/>
      <c r="B595" s="33"/>
      <c r="C595" s="33"/>
      <c r="D595" s="33"/>
      <c r="E595" s="44" t="e">
        <f>VLOOKUP(A595,Lists!$U$1:$V$121,2,FALSE)</f>
        <v>#N/A</v>
      </c>
      <c r="F595" s="34"/>
      <c r="G595" s="35"/>
      <c r="H595" s="35"/>
      <c r="I595" s="48">
        <f t="shared" si="9"/>
        <v>0</v>
      </c>
      <c r="J595" s="36"/>
      <c r="K595" s="36"/>
      <c r="L595" s="39" t="e">
        <f>VLOOKUP('Time Tracking'!$D595,Lists!O:P,2,FALSE)</f>
        <v>#N/A</v>
      </c>
      <c r="M595" s="51" t="e">
        <f>VLOOKUP(C595,Lists!$R$1:$S$15,2,FALSE)</f>
        <v>#N/A</v>
      </c>
      <c r="N595" s="37"/>
    </row>
    <row r="596" spans="1:14" s="24" customFormat="1" x14ac:dyDescent="0.25">
      <c r="A596" s="32"/>
      <c r="B596" s="33"/>
      <c r="C596" s="33"/>
      <c r="D596" s="33"/>
      <c r="E596" s="44" t="e">
        <f>VLOOKUP(A596,Lists!$U$1:$V$121,2,FALSE)</f>
        <v>#N/A</v>
      </c>
      <c r="F596" s="34"/>
      <c r="G596" s="35"/>
      <c r="H596" s="35"/>
      <c r="I596" s="48">
        <f t="shared" si="9"/>
        <v>0</v>
      </c>
      <c r="J596" s="36"/>
      <c r="K596" s="36"/>
      <c r="L596" s="39" t="e">
        <f>VLOOKUP('Time Tracking'!$D596,Lists!O:P,2,FALSE)</f>
        <v>#N/A</v>
      </c>
      <c r="M596" s="51" t="e">
        <f>VLOOKUP(C596,Lists!$R$1:$S$15,2,FALSE)</f>
        <v>#N/A</v>
      </c>
      <c r="N596" s="37"/>
    </row>
    <row r="597" spans="1:14" s="24" customFormat="1" x14ac:dyDescent="0.25">
      <c r="A597" s="32"/>
      <c r="B597" s="33"/>
      <c r="C597" s="33"/>
      <c r="D597" s="33"/>
      <c r="E597" s="44" t="e">
        <f>VLOOKUP(A597,Lists!$U$1:$V$121,2,FALSE)</f>
        <v>#N/A</v>
      </c>
      <c r="F597" s="34"/>
      <c r="G597" s="35"/>
      <c r="H597" s="35"/>
      <c r="I597" s="48">
        <f t="shared" si="9"/>
        <v>0</v>
      </c>
      <c r="J597" s="36"/>
      <c r="K597" s="36"/>
      <c r="L597" s="39" t="e">
        <f>VLOOKUP('Time Tracking'!$D597,Lists!O:P,2,FALSE)</f>
        <v>#N/A</v>
      </c>
      <c r="M597" s="51" t="e">
        <f>VLOOKUP(C597,Lists!$R$1:$S$15,2,FALSE)</f>
        <v>#N/A</v>
      </c>
      <c r="N597" s="37"/>
    </row>
    <row r="598" spans="1:14" s="24" customFormat="1" x14ac:dyDescent="0.25">
      <c r="A598" s="32"/>
      <c r="B598" s="33"/>
      <c r="C598" s="33"/>
      <c r="D598" s="33"/>
      <c r="E598" s="44" t="e">
        <f>VLOOKUP(A598,Lists!$U$1:$V$121,2,FALSE)</f>
        <v>#N/A</v>
      </c>
      <c r="F598" s="34"/>
      <c r="G598" s="35"/>
      <c r="H598" s="35"/>
      <c r="I598" s="48">
        <f t="shared" si="9"/>
        <v>0</v>
      </c>
      <c r="J598" s="36"/>
      <c r="K598" s="36"/>
      <c r="L598" s="39" t="e">
        <f>VLOOKUP('Time Tracking'!$D598,Lists!O:P,2,FALSE)</f>
        <v>#N/A</v>
      </c>
      <c r="M598" s="51" t="e">
        <f>VLOOKUP(C598,Lists!$R$1:$S$15,2,FALSE)</f>
        <v>#N/A</v>
      </c>
      <c r="N598" s="37"/>
    </row>
    <row r="599" spans="1:14" s="24" customFormat="1" x14ac:dyDescent="0.25">
      <c r="A599" s="32"/>
      <c r="B599" s="33"/>
      <c r="C599" s="33"/>
      <c r="D599" s="33"/>
      <c r="E599" s="44" t="e">
        <f>VLOOKUP(A599,Lists!$U$1:$V$121,2,FALSE)</f>
        <v>#N/A</v>
      </c>
      <c r="F599" s="34"/>
      <c r="G599" s="35"/>
      <c r="H599" s="35"/>
      <c r="I599" s="48">
        <f t="shared" si="9"/>
        <v>0</v>
      </c>
      <c r="J599" s="36"/>
      <c r="K599" s="36"/>
      <c r="L599" s="39" t="e">
        <f>VLOOKUP('Time Tracking'!$D599,Lists!O:P,2,FALSE)</f>
        <v>#N/A</v>
      </c>
      <c r="M599" s="51" t="e">
        <f>VLOOKUP(C599,Lists!$R$1:$S$15,2,FALSE)</f>
        <v>#N/A</v>
      </c>
      <c r="N599" s="37"/>
    </row>
    <row r="600" spans="1:14" s="24" customFormat="1" x14ac:dyDescent="0.25">
      <c r="A600" s="32"/>
      <c r="B600" s="33"/>
      <c r="C600" s="33"/>
      <c r="D600" s="33"/>
      <c r="E600" s="44" t="e">
        <f>VLOOKUP(A600,Lists!$U$1:$V$121,2,FALSE)</f>
        <v>#N/A</v>
      </c>
      <c r="F600" s="34"/>
      <c r="G600" s="35"/>
      <c r="H600" s="35"/>
      <c r="I600" s="48">
        <f t="shared" si="9"/>
        <v>0</v>
      </c>
      <c r="J600" s="36"/>
      <c r="K600" s="36"/>
      <c r="L600" s="39" t="e">
        <f>VLOOKUP('Time Tracking'!$D600,Lists!O:P,2,FALSE)</f>
        <v>#N/A</v>
      </c>
      <c r="M600" s="51" t="e">
        <f>VLOOKUP(C600,Lists!$R$1:$S$15,2,FALSE)</f>
        <v>#N/A</v>
      </c>
      <c r="N600" s="37"/>
    </row>
    <row r="601" spans="1:14" s="24" customFormat="1" x14ac:dyDescent="0.25">
      <c r="A601" s="32"/>
      <c r="B601" s="33"/>
      <c r="C601" s="33"/>
      <c r="D601" s="33"/>
      <c r="E601" s="44" t="e">
        <f>VLOOKUP(A601,Lists!$U$1:$V$121,2,FALSE)</f>
        <v>#N/A</v>
      </c>
      <c r="F601" s="34"/>
      <c r="G601" s="35"/>
      <c r="H601" s="35"/>
      <c r="I601" s="48">
        <f t="shared" si="9"/>
        <v>0</v>
      </c>
      <c r="J601" s="36"/>
      <c r="K601" s="36"/>
      <c r="L601" s="39" t="e">
        <f>VLOOKUP('Time Tracking'!$D601,Lists!O:P,2,FALSE)</f>
        <v>#N/A</v>
      </c>
      <c r="M601" s="51" t="e">
        <f>VLOOKUP(C601,Lists!$R$1:$S$15,2,FALSE)</f>
        <v>#N/A</v>
      </c>
      <c r="N601" s="37"/>
    </row>
    <row r="602" spans="1:14" s="24" customFormat="1" x14ac:dyDescent="0.25">
      <c r="A602" s="32"/>
      <c r="B602" s="33"/>
      <c r="C602" s="33"/>
      <c r="D602" s="33"/>
      <c r="E602" s="44" t="e">
        <f>VLOOKUP(A602,Lists!$U$1:$V$121,2,FALSE)</f>
        <v>#N/A</v>
      </c>
      <c r="F602" s="34"/>
      <c r="G602" s="35"/>
      <c r="H602" s="35"/>
      <c r="I602" s="48">
        <f t="shared" si="9"/>
        <v>0</v>
      </c>
      <c r="J602" s="36"/>
      <c r="K602" s="36"/>
      <c r="L602" s="39" t="e">
        <f>VLOOKUP('Time Tracking'!$D602,Lists!O:P,2,FALSE)</f>
        <v>#N/A</v>
      </c>
      <c r="M602" s="51" t="e">
        <f>VLOOKUP(C602,Lists!$R$1:$S$15,2,FALSE)</f>
        <v>#N/A</v>
      </c>
      <c r="N602" s="37"/>
    </row>
    <row r="603" spans="1:14" s="24" customFormat="1" x14ac:dyDescent="0.25">
      <c r="A603" s="32"/>
      <c r="B603" s="33"/>
      <c r="C603" s="33"/>
      <c r="D603" s="33"/>
      <c r="E603" s="44" t="e">
        <f>VLOOKUP(A603,Lists!$U$1:$V$121,2,FALSE)</f>
        <v>#N/A</v>
      </c>
      <c r="F603" s="34"/>
      <c r="G603" s="35"/>
      <c r="H603" s="35"/>
      <c r="I603" s="48">
        <f t="shared" si="9"/>
        <v>0</v>
      </c>
      <c r="J603" s="36"/>
      <c r="K603" s="36"/>
      <c r="L603" s="39" t="e">
        <f>VLOOKUP('Time Tracking'!$D603,Lists!O:P,2,FALSE)</f>
        <v>#N/A</v>
      </c>
      <c r="M603" s="51" t="e">
        <f>VLOOKUP(C603,Lists!$R$1:$S$15,2,FALSE)</f>
        <v>#N/A</v>
      </c>
      <c r="N603" s="37"/>
    </row>
    <row r="604" spans="1:14" s="24" customFormat="1" x14ac:dyDescent="0.25">
      <c r="A604" s="32"/>
      <c r="B604" s="33"/>
      <c r="C604" s="33"/>
      <c r="D604" s="33"/>
      <c r="E604" s="44" t="e">
        <f>VLOOKUP(A604,Lists!$U$1:$V$121,2,FALSE)</f>
        <v>#N/A</v>
      </c>
      <c r="F604" s="34"/>
      <c r="G604" s="35"/>
      <c r="H604" s="35"/>
      <c r="I604" s="48">
        <f t="shared" si="9"/>
        <v>0</v>
      </c>
      <c r="J604" s="36"/>
      <c r="K604" s="36"/>
      <c r="L604" s="39" t="e">
        <f>VLOOKUP('Time Tracking'!$D604,Lists!O:P,2,FALSE)</f>
        <v>#N/A</v>
      </c>
      <c r="M604" s="51" t="e">
        <f>VLOOKUP(C604,Lists!$R$1:$S$15,2,FALSE)</f>
        <v>#N/A</v>
      </c>
      <c r="N604" s="37"/>
    </row>
    <row r="605" spans="1:14" s="24" customFormat="1" x14ac:dyDescent="0.25">
      <c r="A605" s="32"/>
      <c r="B605" s="33"/>
      <c r="C605" s="33"/>
      <c r="D605" s="33"/>
      <c r="E605" s="44" t="e">
        <f>VLOOKUP(A605,Lists!$U$1:$V$121,2,FALSE)</f>
        <v>#N/A</v>
      </c>
      <c r="F605" s="34"/>
      <c r="G605" s="35"/>
      <c r="H605" s="35"/>
      <c r="I605" s="48">
        <f t="shared" si="9"/>
        <v>0</v>
      </c>
      <c r="J605" s="36"/>
      <c r="K605" s="36"/>
      <c r="L605" s="39" t="e">
        <f>VLOOKUP('Time Tracking'!$D605,Lists!O:P,2,FALSE)</f>
        <v>#N/A</v>
      </c>
      <c r="M605" s="51" t="e">
        <f>VLOOKUP(C605,Lists!$R$1:$S$15,2,FALSE)</f>
        <v>#N/A</v>
      </c>
      <c r="N605" s="37"/>
    </row>
    <row r="606" spans="1:14" s="24" customFormat="1" x14ac:dyDescent="0.25">
      <c r="A606" s="32"/>
      <c r="B606" s="33"/>
      <c r="C606" s="33"/>
      <c r="D606" s="33"/>
      <c r="E606" s="44" t="e">
        <f>VLOOKUP(A606,Lists!$U$1:$V$121,2,FALSE)</f>
        <v>#N/A</v>
      </c>
      <c r="F606" s="34"/>
      <c r="G606" s="35"/>
      <c r="H606" s="35"/>
      <c r="I606" s="48">
        <f t="shared" si="9"/>
        <v>0</v>
      </c>
      <c r="J606" s="36"/>
      <c r="K606" s="36"/>
      <c r="L606" s="39" t="e">
        <f>VLOOKUP('Time Tracking'!$D606,Lists!O:P,2,FALSE)</f>
        <v>#N/A</v>
      </c>
      <c r="M606" s="51" t="e">
        <f>VLOOKUP(C606,Lists!$R$1:$S$15,2,FALSE)</f>
        <v>#N/A</v>
      </c>
      <c r="N606" s="37"/>
    </row>
    <row r="607" spans="1:14" s="24" customFormat="1" x14ac:dyDescent="0.25">
      <c r="A607" s="32"/>
      <c r="B607" s="33"/>
      <c r="C607" s="33"/>
      <c r="D607" s="33"/>
      <c r="E607" s="44" t="e">
        <f>VLOOKUP(A607,Lists!$U$1:$V$121,2,FALSE)</f>
        <v>#N/A</v>
      </c>
      <c r="F607" s="34"/>
      <c r="G607" s="35"/>
      <c r="H607" s="35"/>
      <c r="I607" s="48">
        <f t="shared" si="9"/>
        <v>0</v>
      </c>
      <c r="J607" s="36"/>
      <c r="K607" s="36"/>
      <c r="L607" s="39" t="e">
        <f>VLOOKUP('Time Tracking'!$D607,Lists!O:P,2,FALSE)</f>
        <v>#N/A</v>
      </c>
      <c r="M607" s="51" t="e">
        <f>VLOOKUP(C607,Lists!$R$1:$S$15,2,FALSE)</f>
        <v>#N/A</v>
      </c>
      <c r="N607" s="37"/>
    </row>
    <row r="608" spans="1:14" s="24" customFormat="1" x14ac:dyDescent="0.25">
      <c r="A608" s="32"/>
      <c r="B608" s="33"/>
      <c r="C608" s="33"/>
      <c r="D608" s="33"/>
      <c r="E608" s="44" t="e">
        <f>VLOOKUP(A608,Lists!$U$1:$V$121,2,FALSE)</f>
        <v>#N/A</v>
      </c>
      <c r="F608" s="34"/>
      <c r="G608" s="35"/>
      <c r="H608" s="35"/>
      <c r="I608" s="48">
        <f t="shared" si="9"/>
        <v>0</v>
      </c>
      <c r="J608" s="36"/>
      <c r="K608" s="36"/>
      <c r="L608" s="39" t="e">
        <f>VLOOKUP('Time Tracking'!$D608,Lists!O:P,2,FALSE)</f>
        <v>#N/A</v>
      </c>
      <c r="M608" s="51" t="e">
        <f>VLOOKUP(C608,Lists!$R$1:$S$15,2,FALSE)</f>
        <v>#N/A</v>
      </c>
      <c r="N608" s="37"/>
    </row>
    <row r="609" spans="1:14" s="24" customFormat="1" x14ac:dyDescent="0.25">
      <c r="A609" s="32"/>
      <c r="B609" s="33"/>
      <c r="C609" s="33"/>
      <c r="D609" s="33"/>
      <c r="E609" s="44" t="e">
        <f>VLOOKUP(A609,Lists!$U$1:$V$121,2,FALSE)</f>
        <v>#N/A</v>
      </c>
      <c r="F609" s="34"/>
      <c r="G609" s="35"/>
      <c r="H609" s="35"/>
      <c r="I609" s="48">
        <f t="shared" si="9"/>
        <v>0</v>
      </c>
      <c r="J609" s="36"/>
      <c r="K609" s="36"/>
      <c r="L609" s="39" t="e">
        <f>VLOOKUP('Time Tracking'!$D609,Lists!O:P,2,FALSE)</f>
        <v>#N/A</v>
      </c>
      <c r="M609" s="51" t="e">
        <f>VLOOKUP(C609,Lists!$R$1:$S$15,2,FALSE)</f>
        <v>#N/A</v>
      </c>
      <c r="N609" s="37"/>
    </row>
    <row r="610" spans="1:14" s="24" customFormat="1" x14ac:dyDescent="0.25">
      <c r="A610" s="32"/>
      <c r="B610" s="33"/>
      <c r="C610" s="33"/>
      <c r="D610" s="33"/>
      <c r="E610" s="44" t="e">
        <f>VLOOKUP(A610,Lists!$U$1:$V$121,2,FALSE)</f>
        <v>#N/A</v>
      </c>
      <c r="F610" s="34"/>
      <c r="G610" s="35"/>
      <c r="H610" s="35"/>
      <c r="I610" s="48">
        <f t="shared" si="9"/>
        <v>0</v>
      </c>
      <c r="J610" s="36"/>
      <c r="K610" s="36"/>
      <c r="L610" s="39" t="e">
        <f>VLOOKUP('Time Tracking'!$D610,Lists!O:P,2,FALSE)</f>
        <v>#N/A</v>
      </c>
      <c r="M610" s="51" t="e">
        <f>VLOOKUP(C610,Lists!$R$1:$S$15,2,FALSE)</f>
        <v>#N/A</v>
      </c>
      <c r="N610" s="37"/>
    </row>
    <row r="611" spans="1:14" s="24" customFormat="1" x14ac:dyDescent="0.25">
      <c r="A611" s="32"/>
      <c r="B611" s="33"/>
      <c r="C611" s="33"/>
      <c r="D611" s="33"/>
      <c r="E611" s="44" t="e">
        <f>VLOOKUP(A611,Lists!$U$1:$V$121,2,FALSE)</f>
        <v>#N/A</v>
      </c>
      <c r="F611" s="34"/>
      <c r="G611" s="35"/>
      <c r="H611" s="35"/>
      <c r="I611" s="48">
        <f t="shared" si="9"/>
        <v>0</v>
      </c>
      <c r="J611" s="36"/>
      <c r="K611" s="36"/>
      <c r="L611" s="39" t="e">
        <f>VLOOKUP('Time Tracking'!$D611,Lists!O:P,2,FALSE)</f>
        <v>#N/A</v>
      </c>
      <c r="M611" s="51" t="e">
        <f>VLOOKUP(C611,Lists!$R$1:$S$15,2,FALSE)</f>
        <v>#N/A</v>
      </c>
      <c r="N611" s="37"/>
    </row>
    <row r="612" spans="1:14" s="24" customFormat="1" x14ac:dyDescent="0.25">
      <c r="A612" s="32"/>
      <c r="B612" s="33"/>
      <c r="C612" s="33"/>
      <c r="D612" s="33"/>
      <c r="E612" s="44" t="e">
        <f>VLOOKUP(A612,Lists!$U$1:$V$121,2,FALSE)</f>
        <v>#N/A</v>
      </c>
      <c r="F612" s="34"/>
      <c r="G612" s="35"/>
      <c r="H612" s="35"/>
      <c r="I612" s="48">
        <f t="shared" si="9"/>
        <v>0</v>
      </c>
      <c r="J612" s="36"/>
      <c r="K612" s="36"/>
      <c r="L612" s="39" t="e">
        <f>VLOOKUP('Time Tracking'!$D612,Lists!O:P,2,FALSE)</f>
        <v>#N/A</v>
      </c>
      <c r="M612" s="51" t="e">
        <f>VLOOKUP(C612,Lists!$R$1:$S$15,2,FALSE)</f>
        <v>#N/A</v>
      </c>
      <c r="N612" s="37"/>
    </row>
    <row r="613" spans="1:14" s="24" customFormat="1" x14ac:dyDescent="0.25">
      <c r="A613" s="32"/>
      <c r="B613" s="33"/>
      <c r="C613" s="33"/>
      <c r="D613" s="33"/>
      <c r="E613" s="44" t="e">
        <f>VLOOKUP(A613,Lists!$U$1:$V$121,2,FALSE)</f>
        <v>#N/A</v>
      </c>
      <c r="F613" s="34"/>
      <c r="G613" s="35"/>
      <c r="H613" s="35"/>
      <c r="I613" s="48">
        <f t="shared" si="9"/>
        <v>0</v>
      </c>
      <c r="J613" s="36"/>
      <c r="K613" s="36"/>
      <c r="L613" s="39" t="e">
        <f>VLOOKUP('Time Tracking'!$D613,Lists!O:P,2,FALSE)</f>
        <v>#N/A</v>
      </c>
      <c r="M613" s="51" t="e">
        <f>VLOOKUP(C613,Lists!$R$1:$S$15,2,FALSE)</f>
        <v>#N/A</v>
      </c>
      <c r="N613" s="37"/>
    </row>
    <row r="614" spans="1:14" s="24" customFormat="1" x14ac:dyDescent="0.25">
      <c r="A614" s="32"/>
      <c r="B614" s="33"/>
      <c r="C614" s="33"/>
      <c r="D614" s="33"/>
      <c r="E614" s="44" t="e">
        <f>VLOOKUP(A614,Lists!$U$1:$V$121,2,FALSE)</f>
        <v>#N/A</v>
      </c>
      <c r="F614" s="34"/>
      <c r="G614" s="35"/>
      <c r="H614" s="35"/>
      <c r="I614" s="48">
        <f t="shared" si="9"/>
        <v>0</v>
      </c>
      <c r="J614" s="36"/>
      <c r="K614" s="36"/>
      <c r="L614" s="39" t="e">
        <f>VLOOKUP('Time Tracking'!$D614,Lists!O:P,2,FALSE)</f>
        <v>#N/A</v>
      </c>
      <c r="M614" s="51" t="e">
        <f>VLOOKUP(C614,Lists!$R$1:$S$15,2,FALSE)</f>
        <v>#N/A</v>
      </c>
      <c r="N614" s="37"/>
    </row>
    <row r="615" spans="1:14" s="24" customFormat="1" x14ac:dyDescent="0.25">
      <c r="A615" s="32"/>
      <c r="B615" s="33"/>
      <c r="C615" s="33"/>
      <c r="D615" s="33"/>
      <c r="E615" s="44" t="e">
        <f>VLOOKUP(A615,Lists!$U$1:$V$121,2,FALSE)</f>
        <v>#N/A</v>
      </c>
      <c r="F615" s="34"/>
      <c r="G615" s="35"/>
      <c r="H615" s="35"/>
      <c r="I615" s="48">
        <f t="shared" si="9"/>
        <v>0</v>
      </c>
      <c r="J615" s="36"/>
      <c r="K615" s="36"/>
      <c r="L615" s="39" t="e">
        <f>VLOOKUP('Time Tracking'!$D615,Lists!O:P,2,FALSE)</f>
        <v>#N/A</v>
      </c>
      <c r="M615" s="51" t="e">
        <f>VLOOKUP(C615,Lists!$R$1:$S$15,2,FALSE)</f>
        <v>#N/A</v>
      </c>
      <c r="N615" s="37"/>
    </row>
    <row r="616" spans="1:14" s="24" customFormat="1" x14ac:dyDescent="0.25">
      <c r="A616" s="32"/>
      <c r="B616" s="33"/>
      <c r="C616" s="33"/>
      <c r="D616" s="33"/>
      <c r="E616" s="44" t="e">
        <f>VLOOKUP(A616,Lists!$U$1:$V$121,2,FALSE)</f>
        <v>#N/A</v>
      </c>
      <c r="F616" s="34"/>
      <c r="G616" s="35"/>
      <c r="H616" s="35"/>
      <c r="I616" s="48">
        <f t="shared" si="9"/>
        <v>0</v>
      </c>
      <c r="J616" s="36"/>
      <c r="K616" s="36"/>
      <c r="L616" s="39" t="e">
        <f>VLOOKUP('Time Tracking'!$D616,Lists!O:P,2,FALSE)</f>
        <v>#N/A</v>
      </c>
      <c r="M616" s="51" t="e">
        <f>VLOOKUP(C616,Lists!$R$1:$S$15,2,FALSE)</f>
        <v>#N/A</v>
      </c>
      <c r="N616" s="37"/>
    </row>
    <row r="617" spans="1:14" s="24" customFormat="1" x14ac:dyDescent="0.25">
      <c r="A617" s="32"/>
      <c r="B617" s="33"/>
      <c r="C617" s="33"/>
      <c r="D617" s="33"/>
      <c r="E617" s="44" t="e">
        <f>VLOOKUP(A617,Lists!$U$1:$V$121,2,FALSE)</f>
        <v>#N/A</v>
      </c>
      <c r="F617" s="34"/>
      <c r="G617" s="35"/>
      <c r="H617" s="35"/>
      <c r="I617" s="48">
        <f t="shared" si="9"/>
        <v>0</v>
      </c>
      <c r="J617" s="36"/>
      <c r="K617" s="36"/>
      <c r="L617" s="39" t="e">
        <f>VLOOKUP('Time Tracking'!$D617,Lists!O:P,2,FALSE)</f>
        <v>#N/A</v>
      </c>
      <c r="M617" s="51" t="e">
        <f>VLOOKUP(C617,Lists!$R$1:$S$15,2,FALSE)</f>
        <v>#N/A</v>
      </c>
      <c r="N617" s="37"/>
    </row>
    <row r="618" spans="1:14" s="24" customFormat="1" x14ac:dyDescent="0.25">
      <c r="A618" s="32"/>
      <c r="B618" s="33"/>
      <c r="C618" s="33"/>
      <c r="D618" s="33"/>
      <c r="E618" s="44" t="e">
        <f>VLOOKUP(A618,Lists!$U$1:$V$121,2,FALSE)</f>
        <v>#N/A</v>
      </c>
      <c r="F618" s="34"/>
      <c r="G618" s="35"/>
      <c r="H618" s="35"/>
      <c r="I618" s="48">
        <f t="shared" si="9"/>
        <v>0</v>
      </c>
      <c r="J618" s="36"/>
      <c r="K618" s="36"/>
      <c r="L618" s="39" t="e">
        <f>VLOOKUP('Time Tracking'!$D618,Lists!O:P,2,FALSE)</f>
        <v>#N/A</v>
      </c>
      <c r="M618" s="51" t="e">
        <f>VLOOKUP(C618,Lists!$R$1:$S$15,2,FALSE)</f>
        <v>#N/A</v>
      </c>
      <c r="N618" s="37"/>
    </row>
    <row r="619" spans="1:14" s="24" customFormat="1" x14ac:dyDescent="0.25">
      <c r="A619" s="32"/>
      <c r="B619" s="33"/>
      <c r="C619" s="33"/>
      <c r="D619" s="33"/>
      <c r="E619" s="44" t="e">
        <f>VLOOKUP(A619,Lists!$U$1:$V$121,2,FALSE)</f>
        <v>#N/A</v>
      </c>
      <c r="F619" s="34"/>
      <c r="G619" s="35"/>
      <c r="H619" s="35"/>
      <c r="I619" s="48">
        <f t="shared" si="9"/>
        <v>0</v>
      </c>
      <c r="J619" s="36"/>
      <c r="K619" s="36"/>
      <c r="L619" s="39" t="e">
        <f>VLOOKUP('Time Tracking'!$D619,Lists!O:P,2,FALSE)</f>
        <v>#N/A</v>
      </c>
      <c r="M619" s="51" t="e">
        <f>VLOOKUP(C619,Lists!$R$1:$S$15,2,FALSE)</f>
        <v>#N/A</v>
      </c>
      <c r="N619" s="37"/>
    </row>
    <row r="620" spans="1:14" s="24" customFormat="1" x14ac:dyDescent="0.25">
      <c r="A620" s="32"/>
      <c r="B620" s="33"/>
      <c r="C620" s="33"/>
      <c r="D620" s="33"/>
      <c r="E620" s="44" t="e">
        <f>VLOOKUP(A620,Lists!$U$1:$V$121,2,FALSE)</f>
        <v>#N/A</v>
      </c>
      <c r="F620" s="34"/>
      <c r="G620" s="35"/>
      <c r="H620" s="35"/>
      <c r="I620" s="48">
        <f t="shared" si="9"/>
        <v>0</v>
      </c>
      <c r="J620" s="36"/>
      <c r="K620" s="36"/>
      <c r="L620" s="39" t="e">
        <f>VLOOKUP('Time Tracking'!$D620,Lists!O:P,2,FALSE)</f>
        <v>#N/A</v>
      </c>
      <c r="M620" s="51" t="e">
        <f>VLOOKUP(C620,Lists!$R$1:$S$15,2,FALSE)</f>
        <v>#N/A</v>
      </c>
      <c r="N620" s="37"/>
    </row>
    <row r="621" spans="1:14" s="24" customFormat="1" x14ac:dyDescent="0.25">
      <c r="A621" s="32"/>
      <c r="B621" s="33"/>
      <c r="C621" s="33"/>
      <c r="D621" s="33"/>
      <c r="E621" s="44" t="e">
        <f>VLOOKUP(A621,Lists!$U$1:$V$121,2,FALSE)</f>
        <v>#N/A</v>
      </c>
      <c r="F621" s="34"/>
      <c r="G621" s="35"/>
      <c r="H621" s="35"/>
      <c r="I621" s="48">
        <f t="shared" si="9"/>
        <v>0</v>
      </c>
      <c r="J621" s="36"/>
      <c r="K621" s="36"/>
      <c r="L621" s="39" t="e">
        <f>VLOOKUP('Time Tracking'!$D621,Lists!O:P,2,FALSE)</f>
        <v>#N/A</v>
      </c>
      <c r="M621" s="51" t="e">
        <f>VLOOKUP(C621,Lists!$R$1:$S$15,2,FALSE)</f>
        <v>#N/A</v>
      </c>
      <c r="N621" s="37"/>
    </row>
    <row r="622" spans="1:14" s="24" customFormat="1" x14ac:dyDescent="0.25">
      <c r="A622" s="32"/>
      <c r="B622" s="33"/>
      <c r="C622" s="33"/>
      <c r="D622" s="33"/>
      <c r="E622" s="44" t="e">
        <f>VLOOKUP(A622,Lists!$U$1:$V$121,2,FALSE)</f>
        <v>#N/A</v>
      </c>
      <c r="F622" s="34"/>
      <c r="G622" s="35"/>
      <c r="H622" s="35"/>
      <c r="I622" s="48">
        <f t="shared" si="9"/>
        <v>0</v>
      </c>
      <c r="J622" s="36"/>
      <c r="K622" s="36"/>
      <c r="L622" s="39" t="e">
        <f>VLOOKUP('Time Tracking'!$D622,Lists!O:P,2,FALSE)</f>
        <v>#N/A</v>
      </c>
      <c r="M622" s="51" t="e">
        <f>VLOOKUP(C622,Lists!$R$1:$S$15,2,FALSE)</f>
        <v>#N/A</v>
      </c>
      <c r="N622" s="37"/>
    </row>
    <row r="623" spans="1:14" s="24" customFormat="1" x14ac:dyDescent="0.25">
      <c r="A623" s="32"/>
      <c r="B623" s="33"/>
      <c r="C623" s="33"/>
      <c r="D623" s="33"/>
      <c r="E623" s="44" t="e">
        <f>VLOOKUP(A623,Lists!$U$1:$V$121,2,FALSE)</f>
        <v>#N/A</v>
      </c>
      <c r="F623" s="34"/>
      <c r="G623" s="35"/>
      <c r="H623" s="35"/>
      <c r="I623" s="48">
        <f t="shared" si="9"/>
        <v>0</v>
      </c>
      <c r="J623" s="36"/>
      <c r="K623" s="36"/>
      <c r="L623" s="39" t="e">
        <f>VLOOKUP('Time Tracking'!$D623,Lists!O:P,2,FALSE)</f>
        <v>#N/A</v>
      </c>
      <c r="M623" s="51" t="e">
        <f>VLOOKUP(C623,Lists!$R$1:$S$15,2,FALSE)</f>
        <v>#N/A</v>
      </c>
      <c r="N623" s="37"/>
    </row>
    <row r="624" spans="1:14" s="24" customFormat="1" x14ac:dyDescent="0.25">
      <c r="A624" s="32"/>
      <c r="B624" s="33"/>
      <c r="C624" s="33"/>
      <c r="D624" s="33"/>
      <c r="E624" s="44" t="e">
        <f>VLOOKUP(A624,Lists!$U$1:$V$121,2,FALSE)</f>
        <v>#N/A</v>
      </c>
      <c r="F624" s="34"/>
      <c r="G624" s="35"/>
      <c r="H624" s="35"/>
      <c r="I624" s="48">
        <f t="shared" si="9"/>
        <v>0</v>
      </c>
      <c r="J624" s="36"/>
      <c r="K624" s="36"/>
      <c r="L624" s="39" t="e">
        <f>VLOOKUP('Time Tracking'!$D624,Lists!O:P,2,FALSE)</f>
        <v>#N/A</v>
      </c>
      <c r="M624" s="51" t="e">
        <f>VLOOKUP(C624,Lists!$R$1:$S$15,2,FALSE)</f>
        <v>#N/A</v>
      </c>
      <c r="N624" s="37"/>
    </row>
    <row r="625" spans="1:14" s="24" customFormat="1" x14ac:dyDescent="0.25">
      <c r="A625" s="32"/>
      <c r="B625" s="33"/>
      <c r="C625" s="33"/>
      <c r="D625" s="33"/>
      <c r="E625" s="44" t="e">
        <f>VLOOKUP(A625,Lists!$U$1:$V$121,2,FALSE)</f>
        <v>#N/A</v>
      </c>
      <c r="F625" s="34"/>
      <c r="G625" s="35"/>
      <c r="H625" s="35"/>
      <c r="I625" s="48">
        <f t="shared" si="9"/>
        <v>0</v>
      </c>
      <c r="J625" s="36"/>
      <c r="K625" s="36"/>
      <c r="L625" s="39" t="e">
        <f>VLOOKUP('Time Tracking'!$D625,Lists!O:P,2,FALSE)</f>
        <v>#N/A</v>
      </c>
      <c r="M625" s="51" t="e">
        <f>VLOOKUP(C625,Lists!$R$1:$S$15,2,FALSE)</f>
        <v>#N/A</v>
      </c>
      <c r="N625" s="37"/>
    </row>
    <row r="626" spans="1:14" s="24" customFormat="1" x14ac:dyDescent="0.25">
      <c r="A626" s="32"/>
      <c r="B626" s="33"/>
      <c r="C626" s="33"/>
      <c r="D626" s="33"/>
      <c r="E626" s="44" t="e">
        <f>VLOOKUP(A626,Lists!$U$1:$V$121,2,FALSE)</f>
        <v>#N/A</v>
      </c>
      <c r="F626" s="34"/>
      <c r="G626" s="35"/>
      <c r="H626" s="35"/>
      <c r="I626" s="48">
        <f t="shared" si="9"/>
        <v>0</v>
      </c>
      <c r="J626" s="36"/>
      <c r="K626" s="36"/>
      <c r="L626" s="39" t="e">
        <f>VLOOKUP('Time Tracking'!$D626,Lists!O:P,2,FALSE)</f>
        <v>#N/A</v>
      </c>
      <c r="M626" s="51" t="e">
        <f>VLOOKUP(C626,Lists!$R$1:$S$15,2,FALSE)</f>
        <v>#N/A</v>
      </c>
      <c r="N626" s="37"/>
    </row>
    <row r="627" spans="1:14" s="24" customFormat="1" x14ac:dyDescent="0.25">
      <c r="A627" s="32"/>
      <c r="B627" s="33"/>
      <c r="C627" s="33"/>
      <c r="D627" s="33"/>
      <c r="E627" s="44" t="e">
        <f>VLOOKUP(A627,Lists!$U$1:$V$121,2,FALSE)</f>
        <v>#N/A</v>
      </c>
      <c r="F627" s="34"/>
      <c r="G627" s="35"/>
      <c r="H627" s="35"/>
      <c r="I627" s="48">
        <f t="shared" si="9"/>
        <v>0</v>
      </c>
      <c r="J627" s="36"/>
      <c r="K627" s="36"/>
      <c r="L627" s="39" t="e">
        <f>VLOOKUP('Time Tracking'!$D627,Lists!O:P,2,FALSE)</f>
        <v>#N/A</v>
      </c>
      <c r="M627" s="51" t="e">
        <f>VLOOKUP(C627,Lists!$R$1:$S$15,2,FALSE)</f>
        <v>#N/A</v>
      </c>
      <c r="N627" s="37"/>
    </row>
    <row r="628" spans="1:14" s="24" customFormat="1" x14ac:dyDescent="0.25">
      <c r="A628" s="32"/>
      <c r="B628" s="33"/>
      <c r="C628" s="33"/>
      <c r="D628" s="33"/>
      <c r="E628" s="44" t="e">
        <f>VLOOKUP(A628,Lists!$U$1:$V$121,2,FALSE)</f>
        <v>#N/A</v>
      </c>
      <c r="F628" s="34"/>
      <c r="G628" s="35"/>
      <c r="H628" s="35"/>
      <c r="I628" s="48">
        <f t="shared" si="9"/>
        <v>0</v>
      </c>
      <c r="J628" s="36"/>
      <c r="K628" s="36"/>
      <c r="L628" s="39" t="e">
        <f>VLOOKUP('Time Tracking'!$D628,Lists!O:P,2,FALSE)</f>
        <v>#N/A</v>
      </c>
      <c r="M628" s="51" t="e">
        <f>VLOOKUP(C628,Lists!$R$1:$S$15,2,FALSE)</f>
        <v>#N/A</v>
      </c>
      <c r="N628" s="37"/>
    </row>
    <row r="629" spans="1:14" s="24" customFormat="1" x14ac:dyDescent="0.25">
      <c r="A629" s="32"/>
      <c r="B629" s="33"/>
      <c r="C629" s="33"/>
      <c r="D629" s="33"/>
      <c r="E629" s="44" t="e">
        <f>VLOOKUP(A629,Lists!$U$1:$V$121,2,FALSE)</f>
        <v>#N/A</v>
      </c>
      <c r="F629" s="34"/>
      <c r="G629" s="35"/>
      <c r="H629" s="35"/>
      <c r="I629" s="48">
        <f t="shared" si="9"/>
        <v>0</v>
      </c>
      <c r="J629" s="36"/>
      <c r="K629" s="36"/>
      <c r="L629" s="39" t="e">
        <f>VLOOKUP('Time Tracking'!$D629,Lists!O:P,2,FALSE)</f>
        <v>#N/A</v>
      </c>
      <c r="M629" s="51" t="e">
        <f>VLOOKUP(C629,Lists!$R$1:$S$15,2,FALSE)</f>
        <v>#N/A</v>
      </c>
      <c r="N629" s="37"/>
    </row>
    <row r="630" spans="1:14" s="24" customFormat="1" x14ac:dyDescent="0.25">
      <c r="A630" s="32"/>
      <c r="B630" s="33"/>
      <c r="C630" s="33"/>
      <c r="D630" s="33"/>
      <c r="E630" s="44" t="e">
        <f>VLOOKUP(A630,Lists!$U$1:$V$121,2,FALSE)</f>
        <v>#N/A</v>
      </c>
      <c r="F630" s="34"/>
      <c r="G630" s="35"/>
      <c r="H630" s="35"/>
      <c r="I630" s="48">
        <f t="shared" si="9"/>
        <v>0</v>
      </c>
      <c r="J630" s="36"/>
      <c r="K630" s="36"/>
      <c r="L630" s="39" t="e">
        <f>VLOOKUP('Time Tracking'!$D630,Lists!O:P,2,FALSE)</f>
        <v>#N/A</v>
      </c>
      <c r="M630" s="51" t="e">
        <f>VLOOKUP(C630,Lists!$R$1:$S$15,2,FALSE)</f>
        <v>#N/A</v>
      </c>
      <c r="N630" s="37"/>
    </row>
    <row r="631" spans="1:14" s="24" customFormat="1" x14ac:dyDescent="0.25">
      <c r="A631" s="32"/>
      <c r="B631" s="33"/>
      <c r="C631" s="33"/>
      <c r="D631" s="33"/>
      <c r="E631" s="44" t="e">
        <f>VLOOKUP(A631,Lists!$U$1:$V$121,2,FALSE)</f>
        <v>#N/A</v>
      </c>
      <c r="F631" s="34"/>
      <c r="G631" s="35"/>
      <c r="H631" s="35"/>
      <c r="I631" s="48">
        <f t="shared" si="9"/>
        <v>0</v>
      </c>
      <c r="J631" s="36"/>
      <c r="K631" s="36"/>
      <c r="L631" s="39" t="e">
        <f>VLOOKUP('Time Tracking'!$D631,Lists!O:P,2,FALSE)</f>
        <v>#N/A</v>
      </c>
      <c r="M631" s="51" t="e">
        <f>VLOOKUP(C631,Lists!$R$1:$S$15,2,FALSE)</f>
        <v>#N/A</v>
      </c>
      <c r="N631" s="37"/>
    </row>
    <row r="632" spans="1:14" s="24" customFormat="1" x14ac:dyDescent="0.25">
      <c r="A632" s="32"/>
      <c r="B632" s="33"/>
      <c r="C632" s="33"/>
      <c r="D632" s="33"/>
      <c r="E632" s="44" t="e">
        <f>VLOOKUP(A632,Lists!$U$1:$V$121,2,FALSE)</f>
        <v>#N/A</v>
      </c>
      <c r="F632" s="34"/>
      <c r="G632" s="35"/>
      <c r="H632" s="35"/>
      <c r="I632" s="48">
        <f t="shared" si="9"/>
        <v>0</v>
      </c>
      <c r="J632" s="36"/>
      <c r="K632" s="36"/>
      <c r="L632" s="39" t="e">
        <f>VLOOKUP('Time Tracking'!$D632,Lists!O:P,2,FALSE)</f>
        <v>#N/A</v>
      </c>
      <c r="M632" s="51" t="e">
        <f>VLOOKUP(C632,Lists!$R$1:$S$15,2,FALSE)</f>
        <v>#N/A</v>
      </c>
      <c r="N632" s="37"/>
    </row>
    <row r="633" spans="1:14" s="24" customFormat="1" x14ac:dyDescent="0.25">
      <c r="A633" s="32"/>
      <c r="B633" s="33"/>
      <c r="C633" s="33"/>
      <c r="D633" s="33"/>
      <c r="E633" s="44" t="e">
        <f>VLOOKUP(A633,Lists!$U$1:$V$121,2,FALSE)</f>
        <v>#N/A</v>
      </c>
      <c r="F633" s="34"/>
      <c r="G633" s="35"/>
      <c r="H633" s="35"/>
      <c r="I633" s="48">
        <f t="shared" si="9"/>
        <v>0</v>
      </c>
      <c r="J633" s="36"/>
      <c r="K633" s="36"/>
      <c r="L633" s="39" t="e">
        <f>VLOOKUP('Time Tracking'!$D633,Lists!O:P,2,FALSE)</f>
        <v>#N/A</v>
      </c>
      <c r="M633" s="51" t="e">
        <f>VLOOKUP(C633,Lists!$R$1:$S$15,2,FALSE)</f>
        <v>#N/A</v>
      </c>
      <c r="N633" s="37"/>
    </row>
    <row r="634" spans="1:14" s="24" customFormat="1" x14ac:dyDescent="0.25">
      <c r="A634" s="32"/>
      <c r="B634" s="33"/>
      <c r="C634" s="33"/>
      <c r="D634" s="33"/>
      <c r="E634" s="44" t="e">
        <f>VLOOKUP(A634,Lists!$U$1:$V$121,2,FALSE)</f>
        <v>#N/A</v>
      </c>
      <c r="F634" s="34"/>
      <c r="G634" s="35"/>
      <c r="H634" s="35"/>
      <c r="I634" s="48">
        <f t="shared" si="9"/>
        <v>0</v>
      </c>
      <c r="J634" s="36"/>
      <c r="K634" s="36"/>
      <c r="L634" s="39" t="e">
        <f>VLOOKUP('Time Tracking'!$D634,Lists!O:P,2,FALSE)</f>
        <v>#N/A</v>
      </c>
      <c r="M634" s="51" t="e">
        <f>VLOOKUP(C634,Lists!$R$1:$S$15,2,FALSE)</f>
        <v>#N/A</v>
      </c>
      <c r="N634" s="37"/>
    </row>
    <row r="635" spans="1:14" s="24" customFormat="1" x14ac:dyDescent="0.25">
      <c r="A635" s="32"/>
      <c r="B635" s="33"/>
      <c r="C635" s="33"/>
      <c r="D635" s="33"/>
      <c r="E635" s="44" t="e">
        <f>VLOOKUP(A635,Lists!$U$1:$V$121,2,FALSE)</f>
        <v>#N/A</v>
      </c>
      <c r="F635" s="34"/>
      <c r="G635" s="35"/>
      <c r="H635" s="35"/>
      <c r="I635" s="48">
        <f t="shared" si="9"/>
        <v>0</v>
      </c>
      <c r="J635" s="36"/>
      <c r="K635" s="36"/>
      <c r="L635" s="39" t="e">
        <f>VLOOKUP('Time Tracking'!$D635,Lists!O:P,2,FALSE)</f>
        <v>#N/A</v>
      </c>
      <c r="M635" s="51" t="e">
        <f>VLOOKUP(C635,Lists!$R$1:$S$15,2,FALSE)</f>
        <v>#N/A</v>
      </c>
      <c r="N635" s="37"/>
    </row>
    <row r="636" spans="1:14" s="24" customFormat="1" x14ac:dyDescent="0.25">
      <c r="A636" s="32"/>
      <c r="B636" s="33"/>
      <c r="C636" s="33"/>
      <c r="D636" s="33"/>
      <c r="E636" s="44" t="e">
        <f>VLOOKUP(A636,Lists!$U$1:$V$121,2,FALSE)</f>
        <v>#N/A</v>
      </c>
      <c r="F636" s="34"/>
      <c r="G636" s="35"/>
      <c r="H636" s="35"/>
      <c r="I636" s="48">
        <f t="shared" si="9"/>
        <v>0</v>
      </c>
      <c r="J636" s="36"/>
      <c r="K636" s="36"/>
      <c r="L636" s="39" t="e">
        <f>VLOOKUP('Time Tracking'!$D636,Lists!O:P,2,FALSE)</f>
        <v>#N/A</v>
      </c>
      <c r="M636" s="51" t="e">
        <f>VLOOKUP(C636,Lists!$R$1:$S$15,2,FALSE)</f>
        <v>#N/A</v>
      </c>
      <c r="N636" s="37"/>
    </row>
    <row r="637" spans="1:14" s="24" customFormat="1" x14ac:dyDescent="0.25">
      <c r="A637" s="32"/>
      <c r="B637" s="33"/>
      <c r="C637" s="33"/>
      <c r="D637" s="33"/>
      <c r="E637" s="44" t="e">
        <f>VLOOKUP(A637,Lists!$U$1:$V$121,2,FALSE)</f>
        <v>#N/A</v>
      </c>
      <c r="F637" s="34"/>
      <c r="G637" s="35"/>
      <c r="H637" s="35"/>
      <c r="I637" s="48">
        <f t="shared" si="9"/>
        <v>0</v>
      </c>
      <c r="J637" s="36"/>
      <c r="K637" s="36"/>
      <c r="L637" s="39" t="e">
        <f>VLOOKUP('Time Tracking'!$D637,Lists!O:P,2,FALSE)</f>
        <v>#N/A</v>
      </c>
      <c r="M637" s="51" t="e">
        <f>VLOOKUP(C637,Lists!$R$1:$S$15,2,FALSE)</f>
        <v>#N/A</v>
      </c>
      <c r="N637" s="37"/>
    </row>
    <row r="638" spans="1:14" s="24" customFormat="1" x14ac:dyDescent="0.25">
      <c r="A638" s="32"/>
      <c r="B638" s="33"/>
      <c r="C638" s="33"/>
      <c r="D638" s="33"/>
      <c r="E638" s="44" t="e">
        <f>VLOOKUP(A638,Lists!$U$1:$V$121,2,FALSE)</f>
        <v>#N/A</v>
      </c>
      <c r="F638" s="34"/>
      <c r="G638" s="35"/>
      <c r="H638" s="35"/>
      <c r="I638" s="48">
        <f t="shared" si="9"/>
        <v>0</v>
      </c>
      <c r="J638" s="36"/>
      <c r="K638" s="36"/>
      <c r="L638" s="39" t="e">
        <f>VLOOKUP('Time Tracking'!$D638,Lists!O:P,2,FALSE)</f>
        <v>#N/A</v>
      </c>
      <c r="M638" s="51" t="e">
        <f>VLOOKUP(C638,Lists!$R$1:$S$15,2,FALSE)</f>
        <v>#N/A</v>
      </c>
      <c r="N638" s="37"/>
    </row>
    <row r="639" spans="1:14" s="24" customFormat="1" x14ac:dyDescent="0.25">
      <c r="A639" s="32"/>
      <c r="B639" s="33"/>
      <c r="C639" s="33"/>
      <c r="D639" s="33"/>
      <c r="E639" s="44" t="e">
        <f>VLOOKUP(A639,Lists!$U$1:$V$121,2,FALSE)</f>
        <v>#N/A</v>
      </c>
      <c r="F639" s="34"/>
      <c r="G639" s="35"/>
      <c r="H639" s="35"/>
      <c r="I639" s="48">
        <f t="shared" si="9"/>
        <v>0</v>
      </c>
      <c r="J639" s="36"/>
      <c r="K639" s="36"/>
      <c r="L639" s="39" t="e">
        <f>VLOOKUP('Time Tracking'!$D639,Lists!O:P,2,FALSE)</f>
        <v>#N/A</v>
      </c>
      <c r="M639" s="51" t="e">
        <f>VLOOKUP(C639,Lists!$R$1:$S$15,2,FALSE)</f>
        <v>#N/A</v>
      </c>
      <c r="N639" s="37"/>
    </row>
    <row r="640" spans="1:14" s="24" customFormat="1" x14ac:dyDescent="0.25">
      <c r="A640" s="32"/>
      <c r="B640" s="33"/>
      <c r="C640" s="33"/>
      <c r="D640" s="33"/>
      <c r="E640" s="44" t="e">
        <f>VLOOKUP(A640,Lists!$U$1:$V$121,2,FALSE)</f>
        <v>#N/A</v>
      </c>
      <c r="F640" s="34"/>
      <c r="G640" s="35"/>
      <c r="H640" s="35"/>
      <c r="I640" s="48">
        <f t="shared" si="9"/>
        <v>0</v>
      </c>
      <c r="J640" s="36"/>
      <c r="K640" s="36"/>
      <c r="L640" s="39" t="e">
        <f>VLOOKUP('Time Tracking'!$D640,Lists!O:P,2,FALSE)</f>
        <v>#N/A</v>
      </c>
      <c r="M640" s="51" t="e">
        <f>VLOOKUP(C640,Lists!$R$1:$S$15,2,FALSE)</f>
        <v>#N/A</v>
      </c>
      <c r="N640" s="37"/>
    </row>
    <row r="641" spans="1:14" s="24" customFormat="1" x14ac:dyDescent="0.25">
      <c r="A641" s="32"/>
      <c r="B641" s="33"/>
      <c r="C641" s="33"/>
      <c r="D641" s="33"/>
      <c r="E641" s="44" t="e">
        <f>VLOOKUP(A641,Lists!$U$1:$V$121,2,FALSE)</f>
        <v>#N/A</v>
      </c>
      <c r="F641" s="34"/>
      <c r="G641" s="35"/>
      <c r="H641" s="35"/>
      <c r="I641" s="48">
        <f t="shared" si="9"/>
        <v>0</v>
      </c>
      <c r="J641" s="36"/>
      <c r="K641" s="36"/>
      <c r="L641" s="39" t="e">
        <f>VLOOKUP('Time Tracking'!$D641,Lists!O:P,2,FALSE)</f>
        <v>#N/A</v>
      </c>
      <c r="M641" s="51" t="e">
        <f>VLOOKUP(C641,Lists!$R$1:$S$15,2,FALSE)</f>
        <v>#N/A</v>
      </c>
      <c r="N641" s="37"/>
    </row>
    <row r="642" spans="1:14" s="24" customFormat="1" x14ac:dyDescent="0.25">
      <c r="A642" s="32"/>
      <c r="B642" s="33"/>
      <c r="C642" s="33"/>
      <c r="D642" s="33"/>
      <c r="E642" s="44" t="e">
        <f>VLOOKUP(A642,Lists!$U$1:$V$121,2,FALSE)</f>
        <v>#N/A</v>
      </c>
      <c r="F642" s="34"/>
      <c r="G642" s="35"/>
      <c r="H642" s="35"/>
      <c r="I642" s="48">
        <f t="shared" ref="I642:I699" si="10">(IFERROR(TEXT(H642-G642,"h:mm"),"0:00"))*24</f>
        <v>0</v>
      </c>
      <c r="J642" s="36"/>
      <c r="K642" s="36"/>
      <c r="L642" s="39" t="e">
        <f>VLOOKUP('Time Tracking'!$D642,Lists!O:P,2,FALSE)</f>
        <v>#N/A</v>
      </c>
      <c r="M642" s="51" t="e">
        <f>VLOOKUP(C642,Lists!$R$1:$S$15,2,FALSE)</f>
        <v>#N/A</v>
      </c>
      <c r="N642" s="37"/>
    </row>
    <row r="643" spans="1:14" s="24" customFormat="1" x14ac:dyDescent="0.25">
      <c r="A643" s="32"/>
      <c r="B643" s="33"/>
      <c r="C643" s="33"/>
      <c r="D643" s="33"/>
      <c r="E643" s="44" t="e">
        <f>VLOOKUP(A643,Lists!$U$1:$V$121,2,FALSE)</f>
        <v>#N/A</v>
      </c>
      <c r="F643" s="34"/>
      <c r="G643" s="35"/>
      <c r="H643" s="35"/>
      <c r="I643" s="48">
        <f t="shared" si="10"/>
        <v>0</v>
      </c>
      <c r="J643" s="36"/>
      <c r="K643" s="36"/>
      <c r="L643" s="39" t="e">
        <f>VLOOKUP('Time Tracking'!$D643,Lists!O:P,2,FALSE)</f>
        <v>#N/A</v>
      </c>
      <c r="M643" s="51" t="e">
        <f>VLOOKUP(C643,Lists!$R$1:$S$15,2,FALSE)</f>
        <v>#N/A</v>
      </c>
      <c r="N643" s="37"/>
    </row>
    <row r="644" spans="1:14" s="24" customFormat="1" x14ac:dyDescent="0.25">
      <c r="A644" s="32"/>
      <c r="B644" s="33"/>
      <c r="C644" s="33"/>
      <c r="D644" s="33"/>
      <c r="E644" s="44" t="e">
        <f>VLOOKUP(A644,Lists!$U$1:$V$121,2,FALSE)</f>
        <v>#N/A</v>
      </c>
      <c r="F644" s="34"/>
      <c r="G644" s="35"/>
      <c r="H644" s="35"/>
      <c r="I644" s="48">
        <f t="shared" si="10"/>
        <v>0</v>
      </c>
      <c r="J644" s="36"/>
      <c r="K644" s="36"/>
      <c r="L644" s="39" t="e">
        <f>VLOOKUP('Time Tracking'!$D644,Lists!O:P,2,FALSE)</f>
        <v>#N/A</v>
      </c>
      <c r="M644" s="51" t="e">
        <f>VLOOKUP(C644,Lists!$R$1:$S$15,2,FALSE)</f>
        <v>#N/A</v>
      </c>
      <c r="N644" s="37"/>
    </row>
    <row r="645" spans="1:14" s="24" customFormat="1" x14ac:dyDescent="0.25">
      <c r="A645" s="32"/>
      <c r="B645" s="33"/>
      <c r="C645" s="33"/>
      <c r="D645" s="33"/>
      <c r="E645" s="44" t="e">
        <f>VLOOKUP(A645,Lists!$U$1:$V$121,2,FALSE)</f>
        <v>#N/A</v>
      </c>
      <c r="F645" s="34"/>
      <c r="G645" s="35"/>
      <c r="H645" s="35"/>
      <c r="I645" s="48">
        <f t="shared" si="10"/>
        <v>0</v>
      </c>
      <c r="J645" s="36"/>
      <c r="K645" s="36"/>
      <c r="L645" s="39" t="e">
        <f>VLOOKUP('Time Tracking'!$D645,Lists!O:P,2,FALSE)</f>
        <v>#N/A</v>
      </c>
      <c r="M645" s="51" t="e">
        <f>VLOOKUP(C645,Lists!$R$1:$S$15,2,FALSE)</f>
        <v>#N/A</v>
      </c>
      <c r="N645" s="37"/>
    </row>
    <row r="646" spans="1:14" s="24" customFormat="1" x14ac:dyDescent="0.25">
      <c r="A646" s="32"/>
      <c r="B646" s="33"/>
      <c r="C646" s="33"/>
      <c r="D646" s="33"/>
      <c r="E646" s="44" t="e">
        <f>VLOOKUP(A646,Lists!$U$1:$V$121,2,FALSE)</f>
        <v>#N/A</v>
      </c>
      <c r="F646" s="34"/>
      <c r="G646" s="35"/>
      <c r="H646" s="35"/>
      <c r="I646" s="48">
        <f t="shared" si="10"/>
        <v>0</v>
      </c>
      <c r="J646" s="36"/>
      <c r="K646" s="36"/>
      <c r="L646" s="39" t="e">
        <f>VLOOKUP('Time Tracking'!$D646,Lists!O:P,2,FALSE)</f>
        <v>#N/A</v>
      </c>
      <c r="M646" s="51" t="e">
        <f>VLOOKUP(C646,Lists!$R$1:$S$15,2,FALSE)</f>
        <v>#N/A</v>
      </c>
      <c r="N646" s="37"/>
    </row>
    <row r="647" spans="1:14" s="24" customFormat="1" x14ac:dyDescent="0.25">
      <c r="A647" s="32"/>
      <c r="B647" s="33"/>
      <c r="C647" s="33"/>
      <c r="D647" s="33"/>
      <c r="E647" s="44" t="e">
        <f>VLOOKUP(A647,Lists!$U$1:$V$121,2,FALSE)</f>
        <v>#N/A</v>
      </c>
      <c r="F647" s="34"/>
      <c r="G647" s="35"/>
      <c r="H647" s="35"/>
      <c r="I647" s="48">
        <f t="shared" si="10"/>
        <v>0</v>
      </c>
      <c r="J647" s="36"/>
      <c r="K647" s="36"/>
      <c r="L647" s="39" t="e">
        <f>VLOOKUP('Time Tracking'!$D647,Lists!O:P,2,FALSE)</f>
        <v>#N/A</v>
      </c>
      <c r="M647" s="51" t="e">
        <f>VLOOKUP(C647,Lists!$R$1:$S$15,2,FALSE)</f>
        <v>#N/A</v>
      </c>
      <c r="N647" s="37"/>
    </row>
    <row r="648" spans="1:14" s="24" customFormat="1" x14ac:dyDescent="0.25">
      <c r="A648" s="32"/>
      <c r="B648" s="33"/>
      <c r="C648" s="33"/>
      <c r="D648" s="33"/>
      <c r="E648" s="44" t="e">
        <f>VLOOKUP(A648,Lists!$U$1:$V$121,2,FALSE)</f>
        <v>#N/A</v>
      </c>
      <c r="F648" s="34"/>
      <c r="G648" s="35"/>
      <c r="H648" s="35"/>
      <c r="I648" s="48">
        <f t="shared" si="10"/>
        <v>0</v>
      </c>
      <c r="J648" s="36"/>
      <c r="K648" s="36"/>
      <c r="L648" s="39" t="e">
        <f>VLOOKUP('Time Tracking'!$D648,Lists!O:P,2,FALSE)</f>
        <v>#N/A</v>
      </c>
      <c r="M648" s="51" t="e">
        <f>VLOOKUP(C648,Lists!$R$1:$S$15,2,FALSE)</f>
        <v>#N/A</v>
      </c>
      <c r="N648" s="37"/>
    </row>
    <row r="649" spans="1:14" s="24" customFormat="1" x14ac:dyDescent="0.25">
      <c r="A649" s="32"/>
      <c r="B649" s="33"/>
      <c r="C649" s="33"/>
      <c r="D649" s="33"/>
      <c r="E649" s="44" t="e">
        <f>VLOOKUP(A649,Lists!$U$1:$V$121,2,FALSE)</f>
        <v>#N/A</v>
      </c>
      <c r="F649" s="34"/>
      <c r="G649" s="35"/>
      <c r="H649" s="35"/>
      <c r="I649" s="48">
        <f t="shared" si="10"/>
        <v>0</v>
      </c>
      <c r="J649" s="36"/>
      <c r="K649" s="36"/>
      <c r="L649" s="39" t="e">
        <f>VLOOKUP('Time Tracking'!$D649,Lists!O:P,2,FALSE)</f>
        <v>#N/A</v>
      </c>
      <c r="M649" s="51" t="e">
        <f>VLOOKUP(C649,Lists!$R$1:$S$15,2,FALSE)</f>
        <v>#N/A</v>
      </c>
      <c r="N649" s="37"/>
    </row>
    <row r="650" spans="1:14" s="24" customFormat="1" x14ac:dyDescent="0.25">
      <c r="A650" s="32"/>
      <c r="B650" s="33"/>
      <c r="C650" s="33"/>
      <c r="D650" s="33"/>
      <c r="E650" s="44" t="e">
        <f>VLOOKUP(A650,Lists!$U$1:$V$121,2,FALSE)</f>
        <v>#N/A</v>
      </c>
      <c r="F650" s="34"/>
      <c r="G650" s="35"/>
      <c r="H650" s="35"/>
      <c r="I650" s="48">
        <f t="shared" si="10"/>
        <v>0</v>
      </c>
      <c r="J650" s="36"/>
      <c r="K650" s="36"/>
      <c r="L650" s="39" t="e">
        <f>VLOOKUP('Time Tracking'!$D650,Lists!O:P,2,FALSE)</f>
        <v>#N/A</v>
      </c>
      <c r="M650" s="51" t="e">
        <f>VLOOKUP(C650,Lists!$R$1:$S$15,2,FALSE)</f>
        <v>#N/A</v>
      </c>
      <c r="N650" s="37"/>
    </row>
    <row r="651" spans="1:14" s="24" customFormat="1" x14ac:dyDescent="0.25">
      <c r="A651" s="32"/>
      <c r="B651" s="33"/>
      <c r="C651" s="33"/>
      <c r="D651" s="33"/>
      <c r="E651" s="44" t="e">
        <f>VLOOKUP(A651,Lists!$U$1:$V$121,2,FALSE)</f>
        <v>#N/A</v>
      </c>
      <c r="F651" s="34"/>
      <c r="G651" s="35"/>
      <c r="H651" s="35"/>
      <c r="I651" s="48">
        <f t="shared" si="10"/>
        <v>0</v>
      </c>
      <c r="J651" s="36"/>
      <c r="K651" s="36"/>
      <c r="L651" s="39" t="e">
        <f>VLOOKUP('Time Tracking'!$D651,Lists!O:P,2,FALSE)</f>
        <v>#N/A</v>
      </c>
      <c r="M651" s="51" t="e">
        <f>VLOOKUP(C651,Lists!$R$1:$S$15,2,FALSE)</f>
        <v>#N/A</v>
      </c>
      <c r="N651" s="37"/>
    </row>
    <row r="652" spans="1:14" s="24" customFormat="1" x14ac:dyDescent="0.25">
      <c r="A652" s="32"/>
      <c r="B652" s="33"/>
      <c r="C652" s="33"/>
      <c r="D652" s="33"/>
      <c r="E652" s="44" t="e">
        <f>VLOOKUP(A652,Lists!$U$1:$V$121,2,FALSE)</f>
        <v>#N/A</v>
      </c>
      <c r="F652" s="34"/>
      <c r="G652" s="35"/>
      <c r="H652" s="35"/>
      <c r="I652" s="48">
        <f t="shared" si="10"/>
        <v>0</v>
      </c>
      <c r="J652" s="36"/>
      <c r="K652" s="36"/>
      <c r="L652" s="39" t="e">
        <f>VLOOKUP('Time Tracking'!$D652,Lists!O:P,2,FALSE)</f>
        <v>#N/A</v>
      </c>
      <c r="M652" s="51" t="e">
        <f>VLOOKUP(C652,Lists!$R$1:$S$15,2,FALSE)</f>
        <v>#N/A</v>
      </c>
      <c r="N652" s="37"/>
    </row>
    <row r="653" spans="1:14" s="24" customFormat="1" x14ac:dyDescent="0.25">
      <c r="A653" s="32"/>
      <c r="B653" s="33"/>
      <c r="C653" s="33"/>
      <c r="D653" s="33"/>
      <c r="E653" s="44" t="e">
        <f>VLOOKUP(A653,Lists!$U$1:$V$121,2,FALSE)</f>
        <v>#N/A</v>
      </c>
      <c r="F653" s="34"/>
      <c r="G653" s="35"/>
      <c r="H653" s="35"/>
      <c r="I653" s="48">
        <f t="shared" si="10"/>
        <v>0</v>
      </c>
      <c r="J653" s="36"/>
      <c r="K653" s="36"/>
      <c r="L653" s="39" t="e">
        <f>VLOOKUP('Time Tracking'!$D653,Lists!O:P,2,FALSE)</f>
        <v>#N/A</v>
      </c>
      <c r="M653" s="51" t="e">
        <f>VLOOKUP(C653,Lists!$R$1:$S$15,2,FALSE)</f>
        <v>#N/A</v>
      </c>
      <c r="N653" s="37"/>
    </row>
    <row r="654" spans="1:14" s="24" customFormat="1" x14ac:dyDescent="0.25">
      <c r="A654" s="32"/>
      <c r="B654" s="33"/>
      <c r="C654" s="33"/>
      <c r="D654" s="33"/>
      <c r="E654" s="44" t="e">
        <f>VLOOKUP(A654,Lists!$U$1:$V$121,2,FALSE)</f>
        <v>#N/A</v>
      </c>
      <c r="F654" s="34"/>
      <c r="G654" s="35"/>
      <c r="H654" s="35"/>
      <c r="I654" s="48">
        <f t="shared" si="10"/>
        <v>0</v>
      </c>
      <c r="J654" s="36"/>
      <c r="K654" s="36"/>
      <c r="L654" s="39" t="e">
        <f>VLOOKUP('Time Tracking'!$D654,Lists!O:P,2,FALSE)</f>
        <v>#N/A</v>
      </c>
      <c r="M654" s="51" t="e">
        <f>VLOOKUP(C654,Lists!$R$1:$S$15,2,FALSE)</f>
        <v>#N/A</v>
      </c>
      <c r="N654" s="37"/>
    </row>
    <row r="655" spans="1:14" s="24" customFormat="1" x14ac:dyDescent="0.25">
      <c r="A655" s="32"/>
      <c r="B655" s="33"/>
      <c r="C655" s="33"/>
      <c r="D655" s="33"/>
      <c r="E655" s="44" t="e">
        <f>VLOOKUP(A655,Lists!$U$1:$V$121,2,FALSE)</f>
        <v>#N/A</v>
      </c>
      <c r="F655" s="34"/>
      <c r="G655" s="35"/>
      <c r="H655" s="35"/>
      <c r="I655" s="48">
        <f t="shared" si="10"/>
        <v>0</v>
      </c>
      <c r="J655" s="36"/>
      <c r="K655" s="36"/>
      <c r="L655" s="39" t="e">
        <f>VLOOKUP('Time Tracking'!$D655,Lists!O:P,2,FALSE)</f>
        <v>#N/A</v>
      </c>
      <c r="M655" s="51" t="e">
        <f>VLOOKUP(C655,Lists!$R$1:$S$15,2,FALSE)</f>
        <v>#N/A</v>
      </c>
      <c r="N655" s="37"/>
    </row>
    <row r="656" spans="1:14" s="24" customFormat="1" x14ac:dyDescent="0.25">
      <c r="A656" s="32"/>
      <c r="B656" s="33"/>
      <c r="C656" s="33"/>
      <c r="D656" s="33"/>
      <c r="E656" s="44" t="e">
        <f>VLOOKUP(A656,Lists!$U$1:$V$121,2,FALSE)</f>
        <v>#N/A</v>
      </c>
      <c r="F656" s="34"/>
      <c r="G656" s="35"/>
      <c r="H656" s="35"/>
      <c r="I656" s="48">
        <f t="shared" si="10"/>
        <v>0</v>
      </c>
      <c r="J656" s="36"/>
      <c r="K656" s="36"/>
      <c r="L656" s="39" t="e">
        <f>VLOOKUP('Time Tracking'!$D656,Lists!O:P,2,FALSE)</f>
        <v>#N/A</v>
      </c>
      <c r="M656" s="51" t="e">
        <f>VLOOKUP(C656,Lists!$R$1:$S$15,2,FALSE)</f>
        <v>#N/A</v>
      </c>
      <c r="N656" s="37"/>
    </row>
    <row r="657" spans="1:14" s="24" customFormat="1" x14ac:dyDescent="0.25">
      <c r="A657" s="32"/>
      <c r="B657" s="33"/>
      <c r="C657" s="33"/>
      <c r="D657" s="33"/>
      <c r="E657" s="44" t="e">
        <f>VLOOKUP(A657,Lists!$U$1:$V$121,2,FALSE)</f>
        <v>#N/A</v>
      </c>
      <c r="F657" s="34"/>
      <c r="G657" s="35"/>
      <c r="H657" s="35"/>
      <c r="I657" s="48">
        <f t="shared" si="10"/>
        <v>0</v>
      </c>
      <c r="J657" s="36"/>
      <c r="K657" s="36"/>
      <c r="L657" s="39" t="e">
        <f>VLOOKUP('Time Tracking'!$D657,Lists!O:P,2,FALSE)</f>
        <v>#N/A</v>
      </c>
      <c r="M657" s="51" t="e">
        <f>VLOOKUP(C657,Lists!$R$1:$S$15,2,FALSE)</f>
        <v>#N/A</v>
      </c>
      <c r="N657" s="37"/>
    </row>
    <row r="658" spans="1:14" s="24" customFormat="1" x14ac:dyDescent="0.25">
      <c r="A658" s="32"/>
      <c r="B658" s="33"/>
      <c r="C658" s="33"/>
      <c r="D658" s="33"/>
      <c r="E658" s="44" t="e">
        <f>VLOOKUP(A658,Lists!$U$1:$V$121,2,FALSE)</f>
        <v>#N/A</v>
      </c>
      <c r="F658" s="34"/>
      <c r="G658" s="35"/>
      <c r="H658" s="35"/>
      <c r="I658" s="48">
        <f t="shared" si="10"/>
        <v>0</v>
      </c>
      <c r="J658" s="36"/>
      <c r="K658" s="36"/>
      <c r="L658" s="39" t="e">
        <f>VLOOKUP('Time Tracking'!$D658,Lists!O:P,2,FALSE)</f>
        <v>#N/A</v>
      </c>
      <c r="M658" s="51" t="e">
        <f>VLOOKUP(C658,Lists!$R$1:$S$15,2,FALSE)</f>
        <v>#N/A</v>
      </c>
      <c r="N658" s="37"/>
    </row>
    <row r="659" spans="1:14" s="24" customFormat="1" x14ac:dyDescent="0.25">
      <c r="A659" s="32"/>
      <c r="B659" s="33"/>
      <c r="C659" s="33"/>
      <c r="D659" s="33"/>
      <c r="E659" s="44" t="e">
        <f>VLOOKUP(A659,Lists!$U$1:$V$121,2,FALSE)</f>
        <v>#N/A</v>
      </c>
      <c r="F659" s="34"/>
      <c r="G659" s="35"/>
      <c r="H659" s="35"/>
      <c r="I659" s="48">
        <f t="shared" si="10"/>
        <v>0</v>
      </c>
      <c r="J659" s="36"/>
      <c r="K659" s="36"/>
      <c r="L659" s="39" t="e">
        <f>VLOOKUP('Time Tracking'!$D659,Lists!O:P,2,FALSE)</f>
        <v>#N/A</v>
      </c>
      <c r="M659" s="51" t="e">
        <f>VLOOKUP(C659,Lists!$R$1:$S$15,2,FALSE)</f>
        <v>#N/A</v>
      </c>
      <c r="N659" s="37"/>
    </row>
    <row r="660" spans="1:14" s="24" customFormat="1" x14ac:dyDescent="0.25">
      <c r="A660" s="32"/>
      <c r="B660" s="33"/>
      <c r="C660" s="33"/>
      <c r="D660" s="33"/>
      <c r="E660" s="44" t="e">
        <f>VLOOKUP(A660,Lists!$U$1:$V$121,2,FALSE)</f>
        <v>#N/A</v>
      </c>
      <c r="F660" s="34"/>
      <c r="G660" s="35"/>
      <c r="H660" s="35"/>
      <c r="I660" s="48">
        <f t="shared" si="10"/>
        <v>0</v>
      </c>
      <c r="J660" s="36"/>
      <c r="K660" s="36"/>
      <c r="L660" s="39" t="e">
        <f>VLOOKUP('Time Tracking'!$D660,Lists!O:P,2,FALSE)</f>
        <v>#N/A</v>
      </c>
      <c r="M660" s="51" t="e">
        <f>VLOOKUP(C660,Lists!$R$1:$S$15,2,FALSE)</f>
        <v>#N/A</v>
      </c>
      <c r="N660" s="37"/>
    </row>
    <row r="661" spans="1:14" s="24" customFormat="1" x14ac:dyDescent="0.25">
      <c r="A661" s="32"/>
      <c r="B661" s="33"/>
      <c r="C661" s="33"/>
      <c r="D661" s="33"/>
      <c r="E661" s="44" t="e">
        <f>VLOOKUP(A661,Lists!$U$1:$V$121,2,FALSE)</f>
        <v>#N/A</v>
      </c>
      <c r="F661" s="34"/>
      <c r="G661" s="35"/>
      <c r="H661" s="35"/>
      <c r="I661" s="48">
        <f t="shared" si="10"/>
        <v>0</v>
      </c>
      <c r="J661" s="36"/>
      <c r="K661" s="36"/>
      <c r="L661" s="39" t="e">
        <f>VLOOKUP('Time Tracking'!$D661,Lists!O:P,2,FALSE)</f>
        <v>#N/A</v>
      </c>
      <c r="M661" s="51" t="e">
        <f>VLOOKUP(C661,Lists!$R$1:$S$15,2,FALSE)</f>
        <v>#N/A</v>
      </c>
      <c r="N661" s="37"/>
    </row>
    <row r="662" spans="1:14" s="24" customFormat="1" x14ac:dyDescent="0.25">
      <c r="A662" s="32"/>
      <c r="B662" s="33"/>
      <c r="C662" s="33"/>
      <c r="D662" s="33"/>
      <c r="E662" s="44" t="e">
        <f>VLOOKUP(A662,Lists!$U$1:$V$121,2,FALSE)</f>
        <v>#N/A</v>
      </c>
      <c r="F662" s="34"/>
      <c r="G662" s="35"/>
      <c r="H662" s="35"/>
      <c r="I662" s="48">
        <f t="shared" si="10"/>
        <v>0</v>
      </c>
      <c r="J662" s="36"/>
      <c r="K662" s="36"/>
      <c r="L662" s="39" t="e">
        <f>VLOOKUP('Time Tracking'!$D662,Lists!O:P,2,FALSE)</f>
        <v>#N/A</v>
      </c>
      <c r="M662" s="51" t="e">
        <f>VLOOKUP(C662,Lists!$R$1:$S$15,2,FALSE)</f>
        <v>#N/A</v>
      </c>
      <c r="N662" s="37"/>
    </row>
    <row r="663" spans="1:14" s="24" customFormat="1" x14ac:dyDescent="0.25">
      <c r="A663" s="32"/>
      <c r="B663" s="33"/>
      <c r="C663" s="33"/>
      <c r="D663" s="33"/>
      <c r="E663" s="44" t="e">
        <f>VLOOKUP(A663,Lists!$U$1:$V$121,2,FALSE)</f>
        <v>#N/A</v>
      </c>
      <c r="F663" s="34"/>
      <c r="G663" s="35"/>
      <c r="H663" s="35"/>
      <c r="I663" s="48">
        <f t="shared" si="10"/>
        <v>0</v>
      </c>
      <c r="J663" s="36"/>
      <c r="K663" s="36"/>
      <c r="L663" s="39" t="e">
        <f>VLOOKUP('Time Tracking'!$D663,Lists!O:P,2,FALSE)</f>
        <v>#N/A</v>
      </c>
      <c r="M663" s="51" t="e">
        <f>VLOOKUP(C663,Lists!$R$1:$S$15,2,FALSE)</f>
        <v>#N/A</v>
      </c>
      <c r="N663" s="37"/>
    </row>
    <row r="664" spans="1:14" s="24" customFormat="1" x14ac:dyDescent="0.25">
      <c r="A664" s="32"/>
      <c r="B664" s="33"/>
      <c r="C664" s="33"/>
      <c r="D664" s="33"/>
      <c r="E664" s="44" t="e">
        <f>VLOOKUP(A664,Lists!$U$1:$V$121,2,FALSE)</f>
        <v>#N/A</v>
      </c>
      <c r="F664" s="34"/>
      <c r="G664" s="35"/>
      <c r="H664" s="35"/>
      <c r="I664" s="48">
        <f t="shared" si="10"/>
        <v>0</v>
      </c>
      <c r="J664" s="36"/>
      <c r="K664" s="36"/>
      <c r="L664" s="39" t="e">
        <f>VLOOKUP('Time Tracking'!$D664,Lists!O:P,2,FALSE)</f>
        <v>#N/A</v>
      </c>
      <c r="M664" s="51" t="e">
        <f>VLOOKUP(C664,Lists!$R$1:$S$15,2,FALSE)</f>
        <v>#N/A</v>
      </c>
      <c r="N664" s="37"/>
    </row>
    <row r="665" spans="1:14" s="24" customFormat="1" x14ac:dyDescent="0.25">
      <c r="A665" s="32"/>
      <c r="B665" s="33"/>
      <c r="C665" s="33"/>
      <c r="D665" s="33"/>
      <c r="E665" s="44" t="e">
        <f>VLOOKUP(A665,Lists!$U$1:$V$121,2,FALSE)</f>
        <v>#N/A</v>
      </c>
      <c r="F665" s="34"/>
      <c r="G665" s="35"/>
      <c r="H665" s="35"/>
      <c r="I665" s="48">
        <f t="shared" si="10"/>
        <v>0</v>
      </c>
      <c r="J665" s="36"/>
      <c r="K665" s="36"/>
      <c r="L665" s="39" t="e">
        <f>VLOOKUP('Time Tracking'!$D665,Lists!O:P,2,FALSE)</f>
        <v>#N/A</v>
      </c>
      <c r="M665" s="51" t="e">
        <f>VLOOKUP(C665,Lists!$R$1:$S$15,2,FALSE)</f>
        <v>#N/A</v>
      </c>
      <c r="N665" s="37"/>
    </row>
    <row r="666" spans="1:14" s="24" customFormat="1" x14ac:dyDescent="0.25">
      <c r="A666" s="32"/>
      <c r="B666" s="33"/>
      <c r="C666" s="33"/>
      <c r="D666" s="33"/>
      <c r="E666" s="44" t="e">
        <f>VLOOKUP(A666,Lists!$U$1:$V$121,2,FALSE)</f>
        <v>#N/A</v>
      </c>
      <c r="F666" s="34"/>
      <c r="G666" s="35"/>
      <c r="H666" s="35"/>
      <c r="I666" s="48">
        <f t="shared" si="10"/>
        <v>0</v>
      </c>
      <c r="J666" s="36"/>
      <c r="K666" s="36"/>
      <c r="L666" s="39" t="e">
        <f>VLOOKUP('Time Tracking'!$D666,Lists!O:P,2,FALSE)</f>
        <v>#N/A</v>
      </c>
      <c r="M666" s="51" t="e">
        <f>VLOOKUP(C666,Lists!$R$1:$S$15,2,FALSE)</f>
        <v>#N/A</v>
      </c>
      <c r="N666" s="37"/>
    </row>
    <row r="667" spans="1:14" s="24" customFormat="1" x14ac:dyDescent="0.25">
      <c r="A667" s="32"/>
      <c r="B667" s="33"/>
      <c r="C667" s="33"/>
      <c r="D667" s="33"/>
      <c r="E667" s="44" t="e">
        <f>VLOOKUP(A667,Lists!$U$1:$V$121,2,FALSE)</f>
        <v>#N/A</v>
      </c>
      <c r="F667" s="34"/>
      <c r="G667" s="35"/>
      <c r="H667" s="35"/>
      <c r="I667" s="48">
        <f t="shared" si="10"/>
        <v>0</v>
      </c>
      <c r="J667" s="36"/>
      <c r="K667" s="36"/>
      <c r="L667" s="39" t="e">
        <f>VLOOKUP('Time Tracking'!$D667,Lists!O:P,2,FALSE)</f>
        <v>#N/A</v>
      </c>
      <c r="M667" s="51" t="e">
        <f>VLOOKUP(C667,Lists!$R$1:$S$15,2,FALSE)</f>
        <v>#N/A</v>
      </c>
      <c r="N667" s="37"/>
    </row>
    <row r="668" spans="1:14" s="24" customFormat="1" x14ac:dyDescent="0.25">
      <c r="A668" s="32"/>
      <c r="B668" s="33"/>
      <c r="C668" s="33"/>
      <c r="D668" s="33"/>
      <c r="E668" s="44" t="e">
        <f>VLOOKUP(A668,Lists!$U$1:$V$121,2,FALSE)</f>
        <v>#N/A</v>
      </c>
      <c r="F668" s="34"/>
      <c r="G668" s="35"/>
      <c r="H668" s="35"/>
      <c r="I668" s="48">
        <f t="shared" si="10"/>
        <v>0</v>
      </c>
      <c r="J668" s="36"/>
      <c r="K668" s="36"/>
      <c r="L668" s="39" t="e">
        <f>VLOOKUP('Time Tracking'!$D668,Lists!O:P,2,FALSE)</f>
        <v>#N/A</v>
      </c>
      <c r="M668" s="51" t="e">
        <f>VLOOKUP(C668,Lists!$R$1:$S$15,2,FALSE)</f>
        <v>#N/A</v>
      </c>
      <c r="N668" s="37"/>
    </row>
    <row r="669" spans="1:14" s="24" customFormat="1" x14ac:dyDescent="0.25">
      <c r="A669" s="32"/>
      <c r="B669" s="33"/>
      <c r="C669" s="33"/>
      <c r="D669" s="33"/>
      <c r="E669" s="44" t="e">
        <f>VLOOKUP(A669,Lists!$U$1:$V$121,2,FALSE)</f>
        <v>#N/A</v>
      </c>
      <c r="F669" s="34"/>
      <c r="G669" s="35"/>
      <c r="H669" s="35"/>
      <c r="I669" s="48">
        <f t="shared" si="10"/>
        <v>0</v>
      </c>
      <c r="J669" s="36"/>
      <c r="K669" s="36"/>
      <c r="L669" s="39" t="e">
        <f>VLOOKUP('Time Tracking'!$D669,Lists!O:P,2,FALSE)</f>
        <v>#N/A</v>
      </c>
      <c r="M669" s="51" t="e">
        <f>VLOOKUP(C669,Lists!$R$1:$S$15,2,FALSE)</f>
        <v>#N/A</v>
      </c>
      <c r="N669" s="37"/>
    </row>
    <row r="670" spans="1:14" s="24" customFormat="1" x14ac:dyDescent="0.25">
      <c r="A670" s="32"/>
      <c r="B670" s="33"/>
      <c r="C670" s="33"/>
      <c r="D670" s="33"/>
      <c r="E670" s="44" t="e">
        <f>VLOOKUP(A670,Lists!$U$1:$V$121,2,FALSE)</f>
        <v>#N/A</v>
      </c>
      <c r="F670" s="34"/>
      <c r="G670" s="35"/>
      <c r="H670" s="35"/>
      <c r="I670" s="48">
        <f t="shared" si="10"/>
        <v>0</v>
      </c>
      <c r="J670" s="36"/>
      <c r="K670" s="36"/>
      <c r="L670" s="39" t="e">
        <f>VLOOKUP('Time Tracking'!$D670,Lists!O:P,2,FALSE)</f>
        <v>#N/A</v>
      </c>
      <c r="M670" s="51" t="e">
        <f>VLOOKUP(C670,Lists!$R$1:$S$15,2,FALSE)</f>
        <v>#N/A</v>
      </c>
      <c r="N670" s="37"/>
    </row>
    <row r="671" spans="1:14" s="24" customFormat="1" x14ac:dyDescent="0.25">
      <c r="A671" s="32"/>
      <c r="B671" s="33"/>
      <c r="C671" s="33"/>
      <c r="D671" s="33"/>
      <c r="E671" s="44" t="e">
        <f>VLOOKUP(A671,Lists!$U$1:$V$121,2,FALSE)</f>
        <v>#N/A</v>
      </c>
      <c r="F671" s="34"/>
      <c r="G671" s="35"/>
      <c r="H671" s="35"/>
      <c r="I671" s="48">
        <f t="shared" si="10"/>
        <v>0</v>
      </c>
      <c r="J671" s="36"/>
      <c r="K671" s="36"/>
      <c r="L671" s="39" t="e">
        <f>VLOOKUP('Time Tracking'!$D671,Lists!O:P,2,FALSE)</f>
        <v>#N/A</v>
      </c>
      <c r="M671" s="51" t="e">
        <f>VLOOKUP(C671,Lists!$R$1:$S$15,2,FALSE)</f>
        <v>#N/A</v>
      </c>
      <c r="N671" s="37"/>
    </row>
    <row r="672" spans="1:14" s="24" customFormat="1" x14ac:dyDescent="0.25">
      <c r="A672" s="32"/>
      <c r="B672" s="33"/>
      <c r="C672" s="33"/>
      <c r="D672" s="33"/>
      <c r="E672" s="44" t="e">
        <f>VLOOKUP(A672,Lists!$U$1:$V$121,2,FALSE)</f>
        <v>#N/A</v>
      </c>
      <c r="F672" s="34"/>
      <c r="G672" s="35"/>
      <c r="H672" s="35"/>
      <c r="I672" s="48">
        <f t="shared" si="10"/>
        <v>0</v>
      </c>
      <c r="J672" s="36"/>
      <c r="K672" s="36"/>
      <c r="L672" s="39" t="e">
        <f>VLOOKUP('Time Tracking'!$D672,Lists!O:P,2,FALSE)</f>
        <v>#N/A</v>
      </c>
      <c r="M672" s="51" t="e">
        <f>VLOOKUP(C672,Lists!$R$1:$S$15,2,FALSE)</f>
        <v>#N/A</v>
      </c>
      <c r="N672" s="37"/>
    </row>
    <row r="673" spans="1:14" s="24" customFormat="1" x14ac:dyDescent="0.25">
      <c r="A673" s="32"/>
      <c r="B673" s="33"/>
      <c r="C673" s="33"/>
      <c r="D673" s="33"/>
      <c r="E673" s="44" t="e">
        <f>VLOOKUP(A673,Lists!$U$1:$V$121,2,FALSE)</f>
        <v>#N/A</v>
      </c>
      <c r="F673" s="34"/>
      <c r="G673" s="35"/>
      <c r="H673" s="35"/>
      <c r="I673" s="48">
        <f t="shared" si="10"/>
        <v>0</v>
      </c>
      <c r="J673" s="36"/>
      <c r="K673" s="36"/>
      <c r="L673" s="39" t="e">
        <f>VLOOKUP('Time Tracking'!$D673,Lists!O:P,2,FALSE)</f>
        <v>#N/A</v>
      </c>
      <c r="M673" s="51" t="e">
        <f>VLOOKUP(C673,Lists!$R$1:$S$15,2,FALSE)</f>
        <v>#N/A</v>
      </c>
      <c r="N673" s="37"/>
    </row>
    <row r="674" spans="1:14" s="24" customFormat="1" x14ac:dyDescent="0.25">
      <c r="A674" s="32"/>
      <c r="B674" s="33"/>
      <c r="C674" s="33"/>
      <c r="D674" s="33"/>
      <c r="E674" s="44" t="e">
        <f>VLOOKUP(A674,Lists!$U$1:$V$121,2,FALSE)</f>
        <v>#N/A</v>
      </c>
      <c r="F674" s="34"/>
      <c r="G674" s="35"/>
      <c r="H674" s="35"/>
      <c r="I674" s="48">
        <f t="shared" si="10"/>
        <v>0</v>
      </c>
      <c r="J674" s="36"/>
      <c r="K674" s="36"/>
      <c r="L674" s="39" t="e">
        <f>VLOOKUP('Time Tracking'!$D674,Lists!O:P,2,FALSE)</f>
        <v>#N/A</v>
      </c>
      <c r="M674" s="51" t="e">
        <f>VLOOKUP(C674,Lists!$R$1:$S$15,2,FALSE)</f>
        <v>#N/A</v>
      </c>
      <c r="N674" s="37"/>
    </row>
    <row r="675" spans="1:14" s="24" customFormat="1" x14ac:dyDescent="0.25">
      <c r="A675" s="32"/>
      <c r="B675" s="33"/>
      <c r="C675" s="33"/>
      <c r="D675" s="33"/>
      <c r="E675" s="44" t="e">
        <f>VLOOKUP(A675,Lists!$U$1:$V$121,2,FALSE)</f>
        <v>#N/A</v>
      </c>
      <c r="F675" s="34"/>
      <c r="G675" s="35"/>
      <c r="H675" s="35"/>
      <c r="I675" s="48">
        <f t="shared" si="10"/>
        <v>0</v>
      </c>
      <c r="J675" s="36"/>
      <c r="K675" s="36"/>
      <c r="L675" s="39" t="e">
        <f>VLOOKUP('Time Tracking'!$D675,Lists!O:P,2,FALSE)</f>
        <v>#N/A</v>
      </c>
      <c r="M675" s="51" t="e">
        <f>VLOOKUP(C675,Lists!$R$1:$S$15,2,FALSE)</f>
        <v>#N/A</v>
      </c>
      <c r="N675" s="37"/>
    </row>
    <row r="676" spans="1:14" s="24" customFormat="1" x14ac:dyDescent="0.25">
      <c r="A676" s="32"/>
      <c r="B676" s="33"/>
      <c r="C676" s="33"/>
      <c r="D676" s="33"/>
      <c r="E676" s="44" t="e">
        <f>VLOOKUP(A676,Lists!$U$1:$V$121,2,FALSE)</f>
        <v>#N/A</v>
      </c>
      <c r="F676" s="34"/>
      <c r="G676" s="35"/>
      <c r="H676" s="35"/>
      <c r="I676" s="48">
        <f t="shared" si="10"/>
        <v>0</v>
      </c>
      <c r="J676" s="36"/>
      <c r="K676" s="36"/>
      <c r="L676" s="39" t="e">
        <f>VLOOKUP('Time Tracking'!$D676,Lists!O:P,2,FALSE)</f>
        <v>#N/A</v>
      </c>
      <c r="M676" s="51" t="e">
        <f>VLOOKUP(C676,Lists!$R$1:$S$15,2,FALSE)</f>
        <v>#N/A</v>
      </c>
      <c r="N676" s="37"/>
    </row>
    <row r="677" spans="1:14" s="24" customFormat="1" x14ac:dyDescent="0.25">
      <c r="A677" s="32"/>
      <c r="B677" s="33"/>
      <c r="C677" s="33"/>
      <c r="D677" s="33"/>
      <c r="E677" s="44" t="e">
        <f>VLOOKUP(A677,Lists!$U$1:$V$121,2,FALSE)</f>
        <v>#N/A</v>
      </c>
      <c r="F677" s="34"/>
      <c r="G677" s="35"/>
      <c r="H677" s="35"/>
      <c r="I677" s="48">
        <f t="shared" si="10"/>
        <v>0</v>
      </c>
      <c r="J677" s="36"/>
      <c r="K677" s="36"/>
      <c r="L677" s="39" t="e">
        <f>VLOOKUP('Time Tracking'!$D677,Lists!O:P,2,FALSE)</f>
        <v>#N/A</v>
      </c>
      <c r="M677" s="51" t="e">
        <f>VLOOKUP(C677,Lists!$R$1:$S$15,2,FALSE)</f>
        <v>#N/A</v>
      </c>
      <c r="N677" s="37"/>
    </row>
    <row r="678" spans="1:14" s="24" customFormat="1" x14ac:dyDescent="0.25">
      <c r="A678" s="32"/>
      <c r="B678" s="33"/>
      <c r="C678" s="33"/>
      <c r="D678" s="33"/>
      <c r="E678" s="44" t="e">
        <f>VLOOKUP(A678,Lists!$U$1:$V$121,2,FALSE)</f>
        <v>#N/A</v>
      </c>
      <c r="F678" s="34"/>
      <c r="G678" s="35"/>
      <c r="H678" s="35"/>
      <c r="I678" s="48">
        <f t="shared" si="10"/>
        <v>0</v>
      </c>
      <c r="J678" s="36"/>
      <c r="K678" s="36"/>
      <c r="L678" s="39" t="e">
        <f>VLOOKUP('Time Tracking'!$D678,Lists!O:P,2,FALSE)</f>
        <v>#N/A</v>
      </c>
      <c r="M678" s="51" t="e">
        <f>VLOOKUP(C678,Lists!$R$1:$S$15,2,FALSE)</f>
        <v>#N/A</v>
      </c>
      <c r="N678" s="37"/>
    </row>
    <row r="679" spans="1:14" s="24" customFormat="1" x14ac:dyDescent="0.25">
      <c r="A679" s="32"/>
      <c r="B679" s="33"/>
      <c r="C679" s="33"/>
      <c r="D679" s="33"/>
      <c r="E679" s="44" t="e">
        <f>VLOOKUP(A679,Lists!$U$1:$V$121,2,FALSE)</f>
        <v>#N/A</v>
      </c>
      <c r="F679" s="34"/>
      <c r="G679" s="35"/>
      <c r="H679" s="35"/>
      <c r="I679" s="48">
        <f t="shared" si="10"/>
        <v>0</v>
      </c>
      <c r="J679" s="36"/>
      <c r="K679" s="36"/>
      <c r="L679" s="39" t="e">
        <f>VLOOKUP('Time Tracking'!$D679,Lists!O:P,2,FALSE)</f>
        <v>#N/A</v>
      </c>
      <c r="M679" s="51" t="e">
        <f>VLOOKUP(C679,Lists!$R$1:$S$15,2,FALSE)</f>
        <v>#N/A</v>
      </c>
      <c r="N679" s="37"/>
    </row>
    <row r="680" spans="1:14" s="24" customFormat="1" x14ac:dyDescent="0.25">
      <c r="A680" s="32"/>
      <c r="B680" s="33"/>
      <c r="C680" s="33"/>
      <c r="D680" s="33"/>
      <c r="E680" s="44" t="e">
        <f>VLOOKUP(A680,Lists!$U$1:$V$121,2,FALSE)</f>
        <v>#N/A</v>
      </c>
      <c r="F680" s="34"/>
      <c r="G680" s="35"/>
      <c r="H680" s="35"/>
      <c r="I680" s="48">
        <f t="shared" si="10"/>
        <v>0</v>
      </c>
      <c r="J680" s="36"/>
      <c r="K680" s="36"/>
      <c r="L680" s="39" t="e">
        <f>VLOOKUP('Time Tracking'!$D680,Lists!O:P,2,FALSE)</f>
        <v>#N/A</v>
      </c>
      <c r="M680" s="51" t="e">
        <f>VLOOKUP(C680,Lists!$R$1:$S$15,2,FALSE)</f>
        <v>#N/A</v>
      </c>
      <c r="N680" s="37"/>
    </row>
    <row r="681" spans="1:14" s="24" customFormat="1" x14ac:dyDescent="0.25">
      <c r="A681" s="32"/>
      <c r="B681" s="33"/>
      <c r="C681" s="33"/>
      <c r="D681" s="33"/>
      <c r="E681" s="44" t="e">
        <f>VLOOKUP(A681,Lists!$U$1:$V$121,2,FALSE)</f>
        <v>#N/A</v>
      </c>
      <c r="F681" s="34"/>
      <c r="G681" s="35"/>
      <c r="H681" s="35"/>
      <c r="I681" s="48">
        <f t="shared" si="10"/>
        <v>0</v>
      </c>
      <c r="J681" s="36"/>
      <c r="K681" s="36"/>
      <c r="L681" s="39" t="e">
        <f>VLOOKUP('Time Tracking'!$D681,Lists!O:P,2,FALSE)</f>
        <v>#N/A</v>
      </c>
      <c r="M681" s="51" t="e">
        <f>VLOOKUP(C681,Lists!$R$1:$S$15,2,FALSE)</f>
        <v>#N/A</v>
      </c>
      <c r="N681" s="37"/>
    </row>
    <row r="682" spans="1:14" s="24" customFormat="1" x14ac:dyDescent="0.25">
      <c r="A682" s="32"/>
      <c r="B682" s="33"/>
      <c r="C682" s="33"/>
      <c r="D682" s="33"/>
      <c r="E682" s="44" t="e">
        <f>VLOOKUP(A682,Lists!$U$1:$V$121,2,FALSE)</f>
        <v>#N/A</v>
      </c>
      <c r="F682" s="34"/>
      <c r="G682" s="35"/>
      <c r="H682" s="35"/>
      <c r="I682" s="48">
        <f t="shared" si="10"/>
        <v>0</v>
      </c>
      <c r="J682" s="36"/>
      <c r="K682" s="36"/>
      <c r="L682" s="39" t="e">
        <f>VLOOKUP('Time Tracking'!$D682,Lists!O:P,2,FALSE)</f>
        <v>#N/A</v>
      </c>
      <c r="M682" s="51" t="e">
        <f>VLOOKUP(C682,Lists!$R$1:$S$15,2,FALSE)</f>
        <v>#N/A</v>
      </c>
      <c r="N682" s="37"/>
    </row>
    <row r="683" spans="1:14" s="24" customFormat="1" x14ac:dyDescent="0.25">
      <c r="A683" s="32"/>
      <c r="B683" s="33"/>
      <c r="C683" s="33"/>
      <c r="D683" s="33"/>
      <c r="E683" s="44" t="e">
        <f>VLOOKUP(A683,Lists!$U$1:$V$121,2,FALSE)</f>
        <v>#N/A</v>
      </c>
      <c r="F683" s="34"/>
      <c r="G683" s="35"/>
      <c r="H683" s="35"/>
      <c r="I683" s="48">
        <f t="shared" si="10"/>
        <v>0</v>
      </c>
      <c r="J683" s="36"/>
      <c r="K683" s="36"/>
      <c r="L683" s="39" t="e">
        <f>VLOOKUP('Time Tracking'!$D683,Lists!O:P,2,FALSE)</f>
        <v>#N/A</v>
      </c>
      <c r="M683" s="51" t="e">
        <f>VLOOKUP(C683,Lists!$R$1:$S$15,2,FALSE)</f>
        <v>#N/A</v>
      </c>
      <c r="N683" s="37"/>
    </row>
    <row r="684" spans="1:14" s="24" customFormat="1" x14ac:dyDescent="0.25">
      <c r="A684" s="32"/>
      <c r="B684" s="33"/>
      <c r="C684" s="33"/>
      <c r="D684" s="33"/>
      <c r="E684" s="44" t="e">
        <f>VLOOKUP(A684,Lists!$U$1:$V$121,2,FALSE)</f>
        <v>#N/A</v>
      </c>
      <c r="F684" s="34"/>
      <c r="G684" s="35"/>
      <c r="H684" s="35"/>
      <c r="I684" s="48">
        <f t="shared" si="10"/>
        <v>0</v>
      </c>
      <c r="J684" s="36"/>
      <c r="K684" s="36"/>
      <c r="L684" s="39" t="e">
        <f>VLOOKUP('Time Tracking'!$D684,Lists!O:P,2,FALSE)</f>
        <v>#N/A</v>
      </c>
      <c r="M684" s="51" t="e">
        <f>VLOOKUP(C684,Lists!$R$1:$S$15,2,FALSE)</f>
        <v>#N/A</v>
      </c>
      <c r="N684" s="37"/>
    </row>
    <row r="685" spans="1:14" s="24" customFormat="1" x14ac:dyDescent="0.25">
      <c r="A685" s="32"/>
      <c r="B685" s="33"/>
      <c r="C685" s="33"/>
      <c r="D685" s="33"/>
      <c r="E685" s="44" t="e">
        <f>VLOOKUP(A685,Lists!$U$1:$V$121,2,FALSE)</f>
        <v>#N/A</v>
      </c>
      <c r="F685" s="34"/>
      <c r="G685" s="35"/>
      <c r="H685" s="35"/>
      <c r="I685" s="48">
        <f t="shared" si="10"/>
        <v>0</v>
      </c>
      <c r="J685" s="36"/>
      <c r="K685" s="36"/>
      <c r="L685" s="39" t="e">
        <f>VLOOKUP('Time Tracking'!$D685,Lists!O:P,2,FALSE)</f>
        <v>#N/A</v>
      </c>
      <c r="M685" s="51" t="e">
        <f>VLOOKUP(C685,Lists!$R$1:$S$15,2,FALSE)</f>
        <v>#N/A</v>
      </c>
      <c r="N685" s="37"/>
    </row>
    <row r="686" spans="1:14" s="24" customFormat="1" x14ac:dyDescent="0.25">
      <c r="A686" s="32"/>
      <c r="B686" s="33"/>
      <c r="C686" s="33"/>
      <c r="D686" s="33"/>
      <c r="E686" s="44" t="e">
        <f>VLOOKUP(A686,Lists!$U$1:$V$121,2,FALSE)</f>
        <v>#N/A</v>
      </c>
      <c r="F686" s="34"/>
      <c r="G686" s="35"/>
      <c r="H686" s="35"/>
      <c r="I686" s="48">
        <f t="shared" si="10"/>
        <v>0</v>
      </c>
      <c r="J686" s="36"/>
      <c r="K686" s="36"/>
      <c r="L686" s="39" t="e">
        <f>VLOOKUP('Time Tracking'!$D686,Lists!O:P,2,FALSE)</f>
        <v>#N/A</v>
      </c>
      <c r="M686" s="51" t="e">
        <f>VLOOKUP(C686,Lists!$R$1:$S$15,2,FALSE)</f>
        <v>#N/A</v>
      </c>
      <c r="N686" s="37"/>
    </row>
    <row r="687" spans="1:14" s="24" customFormat="1" x14ac:dyDescent="0.25">
      <c r="A687" s="32"/>
      <c r="B687" s="33"/>
      <c r="C687" s="33"/>
      <c r="D687" s="33"/>
      <c r="E687" s="44" t="e">
        <f>VLOOKUP(A687,Lists!$U$1:$V$121,2,FALSE)</f>
        <v>#N/A</v>
      </c>
      <c r="F687" s="34"/>
      <c r="G687" s="35"/>
      <c r="H687" s="35"/>
      <c r="I687" s="48">
        <f t="shared" si="10"/>
        <v>0</v>
      </c>
      <c r="J687" s="36"/>
      <c r="K687" s="36"/>
      <c r="L687" s="39" t="e">
        <f>VLOOKUP('Time Tracking'!$D687,Lists!O:P,2,FALSE)</f>
        <v>#N/A</v>
      </c>
      <c r="M687" s="51" t="e">
        <f>VLOOKUP(C687,Lists!$R$1:$S$15,2,FALSE)</f>
        <v>#N/A</v>
      </c>
      <c r="N687" s="37"/>
    </row>
    <row r="688" spans="1:14" s="24" customFormat="1" x14ac:dyDescent="0.25">
      <c r="A688" s="32"/>
      <c r="B688" s="33"/>
      <c r="C688" s="33"/>
      <c r="D688" s="33"/>
      <c r="E688" s="44" t="e">
        <f>VLOOKUP(A688,Lists!$U$1:$V$121,2,FALSE)</f>
        <v>#N/A</v>
      </c>
      <c r="F688" s="34"/>
      <c r="G688" s="35"/>
      <c r="H688" s="35"/>
      <c r="I688" s="48">
        <f t="shared" si="10"/>
        <v>0</v>
      </c>
      <c r="J688" s="36"/>
      <c r="K688" s="36"/>
      <c r="L688" s="39" t="e">
        <f>VLOOKUP('Time Tracking'!$D688,Lists!O:P,2,FALSE)</f>
        <v>#N/A</v>
      </c>
      <c r="M688" s="51" t="e">
        <f>VLOOKUP(C688,Lists!$R$1:$S$15,2,FALSE)</f>
        <v>#N/A</v>
      </c>
      <c r="N688" s="37"/>
    </row>
    <row r="689" spans="1:14" s="24" customFormat="1" x14ac:dyDescent="0.25">
      <c r="A689" s="32"/>
      <c r="B689" s="33"/>
      <c r="C689" s="33"/>
      <c r="D689" s="33"/>
      <c r="E689" s="44" t="e">
        <f>VLOOKUP(A689,Lists!$U$1:$V$121,2,FALSE)</f>
        <v>#N/A</v>
      </c>
      <c r="F689" s="34"/>
      <c r="G689" s="35"/>
      <c r="H689" s="35"/>
      <c r="I689" s="48">
        <f t="shared" si="10"/>
        <v>0</v>
      </c>
      <c r="J689" s="36"/>
      <c r="K689" s="36"/>
      <c r="L689" s="39" t="e">
        <f>VLOOKUP('Time Tracking'!$D689,Lists!O:P,2,FALSE)</f>
        <v>#N/A</v>
      </c>
      <c r="M689" s="51" t="e">
        <f>VLOOKUP(C689,Lists!$R$1:$S$15,2,FALSE)</f>
        <v>#N/A</v>
      </c>
      <c r="N689" s="37"/>
    </row>
    <row r="690" spans="1:14" s="24" customFormat="1" x14ac:dyDescent="0.25">
      <c r="A690" s="32"/>
      <c r="B690" s="33"/>
      <c r="C690" s="33"/>
      <c r="D690" s="33"/>
      <c r="E690" s="44" t="e">
        <f>VLOOKUP(A690,Lists!$U$1:$V$121,2,FALSE)</f>
        <v>#N/A</v>
      </c>
      <c r="F690" s="34"/>
      <c r="G690" s="35"/>
      <c r="H690" s="35"/>
      <c r="I690" s="48">
        <f t="shared" si="10"/>
        <v>0</v>
      </c>
      <c r="J690" s="36"/>
      <c r="K690" s="36"/>
      <c r="L690" s="39" t="e">
        <f>VLOOKUP('Time Tracking'!$D690,Lists!O:P,2,FALSE)</f>
        <v>#N/A</v>
      </c>
      <c r="M690" s="51" t="e">
        <f>VLOOKUP(C690,Lists!$R$1:$S$15,2,FALSE)</f>
        <v>#N/A</v>
      </c>
      <c r="N690" s="37"/>
    </row>
    <row r="691" spans="1:14" s="24" customFormat="1" x14ac:dyDescent="0.25">
      <c r="A691" s="32"/>
      <c r="B691" s="33"/>
      <c r="C691" s="33"/>
      <c r="D691" s="33"/>
      <c r="E691" s="44" t="e">
        <f>VLOOKUP(A691,Lists!$U$1:$V$121,2,FALSE)</f>
        <v>#N/A</v>
      </c>
      <c r="F691" s="34"/>
      <c r="G691" s="35"/>
      <c r="H691" s="35"/>
      <c r="I691" s="48">
        <f t="shared" si="10"/>
        <v>0</v>
      </c>
      <c r="J691" s="36"/>
      <c r="K691" s="36"/>
      <c r="L691" s="39" t="e">
        <f>VLOOKUP('Time Tracking'!$D691,Lists!O:P,2,FALSE)</f>
        <v>#N/A</v>
      </c>
      <c r="M691" s="51" t="e">
        <f>VLOOKUP(C691,Lists!$R$1:$S$15,2,FALSE)</f>
        <v>#N/A</v>
      </c>
      <c r="N691" s="37"/>
    </row>
    <row r="692" spans="1:14" s="24" customFormat="1" x14ac:dyDescent="0.25">
      <c r="A692" s="32"/>
      <c r="B692" s="33"/>
      <c r="C692" s="33"/>
      <c r="D692" s="33"/>
      <c r="E692" s="44" t="e">
        <f>VLOOKUP(A692,Lists!$U$1:$V$121,2,FALSE)</f>
        <v>#N/A</v>
      </c>
      <c r="F692" s="34"/>
      <c r="G692" s="35"/>
      <c r="H692" s="35"/>
      <c r="I692" s="48">
        <f t="shared" si="10"/>
        <v>0</v>
      </c>
      <c r="J692" s="36"/>
      <c r="K692" s="36"/>
      <c r="L692" s="39" t="e">
        <f>VLOOKUP('Time Tracking'!$D692,Lists!O:P,2,FALSE)</f>
        <v>#N/A</v>
      </c>
      <c r="M692" s="51" t="e">
        <f>VLOOKUP(C692,Lists!$R$1:$S$15,2,FALSE)</f>
        <v>#N/A</v>
      </c>
      <c r="N692" s="37"/>
    </row>
    <row r="693" spans="1:14" s="24" customFormat="1" x14ac:dyDescent="0.25">
      <c r="A693" s="32"/>
      <c r="B693" s="33"/>
      <c r="C693" s="33"/>
      <c r="D693" s="33"/>
      <c r="E693" s="44" t="e">
        <f>VLOOKUP(A693,Lists!$U$1:$V$121,2,FALSE)</f>
        <v>#N/A</v>
      </c>
      <c r="F693" s="34"/>
      <c r="G693" s="35"/>
      <c r="H693" s="35"/>
      <c r="I693" s="48">
        <f t="shared" si="10"/>
        <v>0</v>
      </c>
      <c r="J693" s="36"/>
      <c r="K693" s="36"/>
      <c r="L693" s="39" t="e">
        <f>VLOOKUP('Time Tracking'!$D693,Lists!O:P,2,FALSE)</f>
        <v>#N/A</v>
      </c>
      <c r="M693" s="51" t="e">
        <f>VLOOKUP(C693,Lists!$R$1:$S$15,2,FALSE)</f>
        <v>#N/A</v>
      </c>
      <c r="N693" s="37"/>
    </row>
    <row r="694" spans="1:14" s="24" customFormat="1" x14ac:dyDescent="0.25">
      <c r="A694" s="32"/>
      <c r="B694" s="33"/>
      <c r="C694" s="33"/>
      <c r="D694" s="33"/>
      <c r="E694" s="44" t="e">
        <f>VLOOKUP(A694,Lists!$U$1:$V$121,2,FALSE)</f>
        <v>#N/A</v>
      </c>
      <c r="F694" s="34"/>
      <c r="G694" s="35"/>
      <c r="H694" s="35"/>
      <c r="I694" s="48">
        <f t="shared" si="10"/>
        <v>0</v>
      </c>
      <c r="J694" s="36"/>
      <c r="K694" s="36"/>
      <c r="L694" s="39" t="e">
        <f>VLOOKUP('Time Tracking'!$D694,Lists!O:P,2,FALSE)</f>
        <v>#N/A</v>
      </c>
      <c r="M694" s="51" t="e">
        <f>VLOOKUP(C694,Lists!$R$1:$S$15,2,FALSE)</f>
        <v>#N/A</v>
      </c>
      <c r="N694" s="37"/>
    </row>
    <row r="695" spans="1:14" s="24" customFormat="1" x14ac:dyDescent="0.25">
      <c r="A695" s="32"/>
      <c r="B695" s="33"/>
      <c r="C695" s="33"/>
      <c r="D695" s="33"/>
      <c r="E695" s="44" t="e">
        <f>VLOOKUP(A695,Lists!$U$1:$V$121,2,FALSE)</f>
        <v>#N/A</v>
      </c>
      <c r="F695" s="34"/>
      <c r="G695" s="35"/>
      <c r="H695" s="35"/>
      <c r="I695" s="48">
        <f t="shared" si="10"/>
        <v>0</v>
      </c>
      <c r="J695" s="36"/>
      <c r="K695" s="36"/>
      <c r="L695" s="39" t="e">
        <f>VLOOKUP('Time Tracking'!$D695,Lists!O:P,2,FALSE)</f>
        <v>#N/A</v>
      </c>
      <c r="M695" s="51" t="e">
        <f>VLOOKUP(C695,Lists!$R$1:$S$15,2,FALSE)</f>
        <v>#N/A</v>
      </c>
      <c r="N695" s="37"/>
    </row>
    <row r="696" spans="1:14" s="24" customFormat="1" x14ac:dyDescent="0.25">
      <c r="A696" s="32"/>
      <c r="B696" s="33"/>
      <c r="C696" s="33"/>
      <c r="D696" s="33"/>
      <c r="E696" s="44" t="e">
        <f>VLOOKUP(A696,Lists!$U$1:$V$121,2,FALSE)</f>
        <v>#N/A</v>
      </c>
      <c r="F696" s="34"/>
      <c r="G696" s="35"/>
      <c r="H696" s="35"/>
      <c r="I696" s="48">
        <f t="shared" si="10"/>
        <v>0</v>
      </c>
      <c r="J696" s="36"/>
      <c r="K696" s="36"/>
      <c r="L696" s="39" t="e">
        <f>VLOOKUP('Time Tracking'!$D696,Lists!O:P,2,FALSE)</f>
        <v>#N/A</v>
      </c>
      <c r="M696" s="51" t="e">
        <f>VLOOKUP(C696,Lists!$R$1:$S$15,2,FALSE)</f>
        <v>#N/A</v>
      </c>
      <c r="N696" s="37"/>
    </row>
    <row r="697" spans="1:14" s="24" customFormat="1" x14ac:dyDescent="0.25">
      <c r="A697" s="32"/>
      <c r="B697" s="33"/>
      <c r="C697" s="33"/>
      <c r="D697" s="33"/>
      <c r="E697" s="44" t="e">
        <f>VLOOKUP(A697,Lists!$U$1:$V$121,2,FALSE)</f>
        <v>#N/A</v>
      </c>
      <c r="F697" s="34"/>
      <c r="G697" s="35"/>
      <c r="H697" s="35"/>
      <c r="I697" s="48">
        <f t="shared" si="10"/>
        <v>0</v>
      </c>
      <c r="J697" s="36"/>
      <c r="K697" s="36"/>
      <c r="L697" s="39" t="e">
        <f>VLOOKUP('Time Tracking'!$D697,Lists!O:P,2,FALSE)</f>
        <v>#N/A</v>
      </c>
      <c r="M697" s="51" t="e">
        <f>VLOOKUP(C697,Lists!$R$1:$S$15,2,FALSE)</f>
        <v>#N/A</v>
      </c>
      <c r="N697" s="37"/>
    </row>
    <row r="698" spans="1:14" s="24" customFormat="1" x14ac:dyDescent="0.25">
      <c r="A698" s="32"/>
      <c r="B698" s="33"/>
      <c r="C698" s="33"/>
      <c r="D698" s="33"/>
      <c r="E698" s="44" t="e">
        <f>VLOOKUP(A698,Lists!$U$1:$V$121,2,FALSE)</f>
        <v>#N/A</v>
      </c>
      <c r="F698" s="34"/>
      <c r="G698" s="35"/>
      <c r="H698" s="35"/>
      <c r="I698" s="48">
        <f t="shared" si="10"/>
        <v>0</v>
      </c>
      <c r="J698" s="36"/>
      <c r="K698" s="36"/>
      <c r="L698" s="39" t="e">
        <f>VLOOKUP('Time Tracking'!$D698,Lists!O:P,2,FALSE)</f>
        <v>#N/A</v>
      </c>
      <c r="M698" s="51" t="e">
        <f>VLOOKUP(C698,Lists!$R$1:$S$15,2,FALSE)</f>
        <v>#N/A</v>
      </c>
      <c r="N698" s="37"/>
    </row>
    <row r="699" spans="1:14" s="24" customFormat="1" x14ac:dyDescent="0.25">
      <c r="A699" s="32"/>
      <c r="B699" s="33"/>
      <c r="C699" s="33"/>
      <c r="D699" s="33"/>
      <c r="E699" s="44" t="e">
        <f>VLOOKUP(A699,Lists!$U$1:$V$121,2,FALSE)</f>
        <v>#N/A</v>
      </c>
      <c r="F699" s="34"/>
      <c r="G699" s="35"/>
      <c r="H699" s="35"/>
      <c r="I699" s="48">
        <f t="shared" si="10"/>
        <v>0</v>
      </c>
      <c r="J699" s="36"/>
      <c r="K699" s="36"/>
      <c r="L699" s="39" t="e">
        <f>VLOOKUP('Time Tracking'!$D699,Lists!O:P,2,FALSE)</f>
        <v>#N/A</v>
      </c>
      <c r="M699" s="51" t="e">
        <f>VLOOKUP(C699,Lists!$R$1:$S$15,2,FALSE)</f>
        <v>#N/A</v>
      </c>
      <c r="N699" s="37"/>
    </row>
  </sheetData>
  <sheetProtection formatCells="0" formatColumns="0" formatRows="0" insertRows="0" insertHyperlinks="0" deleteRows="0" sort="0" autoFilter="0" pivotTables="0"/>
  <autoFilter ref="A1:N699"/>
  <conditionalFormatting sqref="N2:N699">
    <cfRule type="expression" dxfId="0" priority="1">
      <formula>AND($J2="Other",ISBLANK($N2))</formula>
    </cfRule>
  </conditionalFormatting>
  <dataValidations count="8">
    <dataValidation type="list" allowBlank="1" showInputMessage="1" showErrorMessage="1" sqref="B2:B699">
      <formula1>Role</formula1>
    </dataValidation>
    <dataValidation type="date" operator="greaterThan" allowBlank="1" showInputMessage="1" showErrorMessage="1" errorTitle="Invalid Date Format" error="The date must be after Jan 1, 2017 and in the same &quot;short date&quot; format that your OS is set to use. Look at the date  in your Windows taskbar to know which format to use (such as dd/mm/yyyy or mm/dd/yyyy)." sqref="F2:F699">
      <formula1>42736</formula1>
    </dataValidation>
    <dataValidation type="time" allowBlank="1" showInputMessage="1" showErrorMessage="1" errorTitle="Invalid Time Format" error="The time must be in the following format:_x000a__x000a_    hh:mm AM/PM_x000a__x000a_For example, 8:45 AM" sqref="H27:H28 G28:G29 H37 G38 G44:H699">
      <formula1>0</formula1>
      <formula2>0.999305555555556</formula2>
    </dataValidation>
    <dataValidation type="list" allowBlank="1" showInputMessage="1" showErrorMessage="1" sqref="C2:C699">
      <formula1>Project_Owners</formula1>
    </dataValidation>
    <dataValidation type="list" allowBlank="1" showInputMessage="1" showErrorMessage="1" errorTitle="Invalid Activity Group" error="You must choose a valid Activity Group." sqref="J2:J699">
      <formula1>INDIRECT(SUBSTITUTE($B2," ",""))</formula1>
    </dataValidation>
    <dataValidation type="list" allowBlank="1" showInputMessage="1" showErrorMessage="1" sqref="D2:D699">
      <formula1>INDIRECT(SUBSTITUTE($C2," ",""))</formula1>
    </dataValidation>
    <dataValidation type="list" allowBlank="1" showInputMessage="1" showErrorMessage="1" errorTitle="Invalid Task Area" error="You must choose a valid Task Area." sqref="K2:K699">
      <formula1>INDIRECT(SUBSTITUTE($B2&amp;$J2," ",""))</formula1>
    </dataValidation>
    <dataValidation type="time" allowBlank="1" showInputMessage="1" showErrorMessage="1" errorTitle="Invalid Time Format" error="The time must be in the following 24-hour format:_x000a__x000a_    hh:mm_x000a__x000a_For example, 14:45" sqref="G2:H26 G27 H29 G30:H36 G37 H38:H43 G39:G43">
      <formula1>0</formula1>
      <formula2>0.999305555555556</formula2>
    </dataValidation>
  </dataValidations>
  <pageMargins left="0.7" right="0.7" top="0.75" bottom="0.75" header="0.3" footer="0.3"/>
  <pageSetup orientation="portrait" r:id="rId1"/>
  <ignoredErrors>
    <ignoredError sqref="E2:E69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A3" sqref="A3"/>
    </sheetView>
  </sheetViews>
  <sheetFormatPr baseColWidth="10" defaultColWidth="9.140625" defaultRowHeight="15" x14ac:dyDescent="0.25"/>
  <cols>
    <col min="1" max="1" width="12.7109375" customWidth="1"/>
    <col min="2" max="2" width="12.28515625" bestFit="1" customWidth="1"/>
  </cols>
  <sheetData>
    <row r="1" spans="1:2" x14ac:dyDescent="0.25">
      <c r="A1" s="38" t="s">
        <v>0</v>
      </c>
      <c r="B1" s="24" t="s">
        <v>14</v>
      </c>
    </row>
    <row r="3" spans="1:2" x14ac:dyDescent="0.25">
      <c r="A3" s="38" t="s">
        <v>15</v>
      </c>
      <c r="B3" s="24" t="s">
        <v>16</v>
      </c>
    </row>
    <row r="4" spans="1:2" x14ac:dyDescent="0.25">
      <c r="A4" s="11" t="s">
        <v>17</v>
      </c>
      <c r="B4" s="52">
        <v>0</v>
      </c>
    </row>
    <row r="5" spans="1:2" x14ac:dyDescent="0.25">
      <c r="A5" s="11" t="s">
        <v>18</v>
      </c>
      <c r="B5" s="52">
        <v>0</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5"/>
  <sheetViews>
    <sheetView zoomScaleNormal="100" workbookViewId="0">
      <selection activeCell="D14" sqref="D14"/>
    </sheetView>
  </sheetViews>
  <sheetFormatPr baseColWidth="10" defaultColWidth="8.85546875" defaultRowHeight="15" x14ac:dyDescent="0.25"/>
  <cols>
    <col min="1" max="1" width="28.28515625" style="8" customWidth="1"/>
    <col min="2" max="2" width="28.140625" style="8" bestFit="1" customWidth="1"/>
    <col min="3" max="3" width="33" style="8" bestFit="1" customWidth="1"/>
    <col min="4" max="4" width="61" style="14" customWidth="1"/>
    <col min="5" max="5" width="7.42578125" style="20" bestFit="1" customWidth="1"/>
    <col min="6" max="6" width="10.42578125" style="20" bestFit="1" customWidth="1"/>
    <col min="7" max="7" width="11.7109375" style="20" customWidth="1"/>
    <col min="8" max="8" width="49" style="8" customWidth="1"/>
    <col min="9" max="16384" width="8.85546875" style="8"/>
  </cols>
  <sheetData>
    <row r="1" spans="1:8" s="13" customFormat="1" ht="12" x14ac:dyDescent="0.25">
      <c r="A1" s="17" t="s">
        <v>19</v>
      </c>
      <c r="B1" s="17" t="s">
        <v>9</v>
      </c>
      <c r="C1" s="17" t="s">
        <v>10</v>
      </c>
      <c r="D1" s="18" t="s">
        <v>20</v>
      </c>
      <c r="E1" s="19" t="s">
        <v>21</v>
      </c>
      <c r="F1" s="19" t="s">
        <v>22</v>
      </c>
      <c r="G1" s="19" t="s">
        <v>23</v>
      </c>
      <c r="H1" s="17" t="s">
        <v>13</v>
      </c>
    </row>
    <row r="2" spans="1:8" x14ac:dyDescent="0.25">
      <c r="A2" s="8" t="s">
        <v>24</v>
      </c>
      <c r="B2" s="8" t="s">
        <v>25</v>
      </c>
      <c r="C2" s="8" t="s">
        <v>25</v>
      </c>
      <c r="D2" s="14" t="s">
        <v>26</v>
      </c>
      <c r="E2" s="20" t="s">
        <v>27</v>
      </c>
      <c r="F2" s="20" t="s">
        <v>28</v>
      </c>
      <c r="G2" s="20" t="s">
        <v>29</v>
      </c>
    </row>
    <row r="3" spans="1:8" x14ac:dyDescent="0.25">
      <c r="B3" s="8" t="s">
        <v>30</v>
      </c>
      <c r="C3" s="8" t="s">
        <v>31</v>
      </c>
      <c r="D3" s="14" t="s">
        <v>32</v>
      </c>
      <c r="E3" s="20" t="s">
        <v>27</v>
      </c>
      <c r="F3" s="20" t="s">
        <v>28</v>
      </c>
      <c r="G3" s="20" t="s">
        <v>29</v>
      </c>
    </row>
    <row r="4" spans="1:8" ht="30" x14ac:dyDescent="0.25">
      <c r="C4" s="8" t="s">
        <v>33</v>
      </c>
      <c r="D4" s="14" t="s">
        <v>34</v>
      </c>
      <c r="E4" s="20" t="s">
        <v>27</v>
      </c>
      <c r="F4" s="20" t="s">
        <v>28</v>
      </c>
      <c r="G4" s="20" t="s">
        <v>29</v>
      </c>
    </row>
    <row r="5" spans="1:8" ht="75" x14ac:dyDescent="0.25">
      <c r="C5" s="8" t="s">
        <v>35</v>
      </c>
      <c r="D5" s="14" t="s">
        <v>36</v>
      </c>
      <c r="E5" s="20" t="s">
        <v>27</v>
      </c>
      <c r="F5" s="20" t="s">
        <v>28</v>
      </c>
      <c r="G5" s="20" t="s">
        <v>29</v>
      </c>
    </row>
    <row r="6" spans="1:8" x14ac:dyDescent="0.25">
      <c r="C6" s="8" t="s">
        <v>37</v>
      </c>
      <c r="D6" s="14" t="s">
        <v>38</v>
      </c>
      <c r="E6" s="20" t="s">
        <v>27</v>
      </c>
      <c r="F6" s="20" t="s">
        <v>28</v>
      </c>
      <c r="G6" s="20" t="s">
        <v>29</v>
      </c>
    </row>
    <row r="7" spans="1:8" x14ac:dyDescent="0.25">
      <c r="B7" s="8" t="s">
        <v>39</v>
      </c>
      <c r="C7" s="8" t="s">
        <v>40</v>
      </c>
      <c r="D7" s="14" t="s">
        <v>41</v>
      </c>
      <c r="E7" s="20" t="s">
        <v>27</v>
      </c>
      <c r="F7" s="20" t="s">
        <v>28</v>
      </c>
      <c r="G7" s="20" t="s">
        <v>29</v>
      </c>
    </row>
    <row r="8" spans="1:8" ht="30" x14ac:dyDescent="0.25">
      <c r="C8" s="8" t="s">
        <v>42</v>
      </c>
      <c r="D8" s="14" t="s">
        <v>43</v>
      </c>
      <c r="E8" s="20" t="s">
        <v>27</v>
      </c>
      <c r="F8" s="20" t="s">
        <v>28</v>
      </c>
      <c r="G8" s="20" t="s">
        <v>29</v>
      </c>
    </row>
    <row r="9" spans="1:8" x14ac:dyDescent="0.25">
      <c r="C9" s="8" t="s">
        <v>44</v>
      </c>
      <c r="D9" s="14" t="s">
        <v>45</v>
      </c>
      <c r="E9" s="20" t="s">
        <v>27</v>
      </c>
      <c r="F9" s="20" t="s">
        <v>28</v>
      </c>
      <c r="G9" s="20" t="s">
        <v>29</v>
      </c>
    </row>
    <row r="10" spans="1:8" ht="30" x14ac:dyDescent="0.25">
      <c r="B10" s="8" t="s">
        <v>46</v>
      </c>
      <c r="C10" s="8" t="s">
        <v>46</v>
      </c>
      <c r="D10" s="14" t="s">
        <v>47</v>
      </c>
      <c r="E10" s="20" t="s">
        <v>27</v>
      </c>
      <c r="F10" s="20" t="s">
        <v>28</v>
      </c>
      <c r="G10" s="20" t="s">
        <v>29</v>
      </c>
    </row>
    <row r="11" spans="1:8" ht="45" x14ac:dyDescent="0.25">
      <c r="B11" s="8" t="s">
        <v>42</v>
      </c>
      <c r="C11" s="8" t="s">
        <v>42</v>
      </c>
      <c r="D11" s="14" t="s">
        <v>48</v>
      </c>
      <c r="E11" s="20" t="s">
        <v>27</v>
      </c>
      <c r="F11" s="20" t="s">
        <v>28</v>
      </c>
      <c r="G11" s="20" t="s">
        <v>29</v>
      </c>
    </row>
    <row r="12" spans="1:8" ht="90" x14ac:dyDescent="0.25">
      <c r="B12" s="8" t="s">
        <v>49</v>
      </c>
      <c r="C12" s="8" t="s">
        <v>49</v>
      </c>
      <c r="D12" s="14" t="s">
        <v>50</v>
      </c>
      <c r="E12" s="20" t="s">
        <v>27</v>
      </c>
      <c r="F12" s="20" t="s">
        <v>28</v>
      </c>
      <c r="G12" s="20" t="s">
        <v>29</v>
      </c>
    </row>
    <row r="13" spans="1:8" ht="30" x14ac:dyDescent="0.25">
      <c r="B13" s="8" t="s">
        <v>51</v>
      </c>
      <c r="C13" s="8" t="s">
        <v>51</v>
      </c>
      <c r="D13" s="14" t="s">
        <v>52</v>
      </c>
      <c r="E13" s="20" t="s">
        <v>27</v>
      </c>
      <c r="F13" s="20" t="s">
        <v>28</v>
      </c>
      <c r="G13" s="20" t="s">
        <v>29</v>
      </c>
    </row>
    <row r="14" spans="1:8" x14ac:dyDescent="0.25">
      <c r="B14" s="8" t="s">
        <v>53</v>
      </c>
      <c r="C14" s="8" t="s">
        <v>53</v>
      </c>
      <c r="D14" s="14" t="s">
        <v>54</v>
      </c>
      <c r="E14" s="20" t="s">
        <v>27</v>
      </c>
      <c r="F14" s="20" t="s">
        <v>28</v>
      </c>
      <c r="G14" s="20" t="s">
        <v>29</v>
      </c>
    </row>
    <row r="15" spans="1:8" ht="60" x14ac:dyDescent="0.25">
      <c r="B15" s="8" t="s">
        <v>55</v>
      </c>
      <c r="C15" s="8" t="s">
        <v>55</v>
      </c>
      <c r="D15" s="14" t="s">
        <v>56</v>
      </c>
      <c r="E15" s="20" t="s">
        <v>27</v>
      </c>
      <c r="F15" s="20" t="s">
        <v>28</v>
      </c>
      <c r="G15" s="20" t="s">
        <v>29</v>
      </c>
    </row>
    <row r="16" spans="1:8" x14ac:dyDescent="0.25">
      <c r="B16" s="8" t="s">
        <v>57</v>
      </c>
      <c r="C16" s="8" t="s">
        <v>57</v>
      </c>
      <c r="D16" s="2" t="s">
        <v>58</v>
      </c>
      <c r="E16" s="20" t="s">
        <v>27</v>
      </c>
      <c r="F16" s="20" t="s">
        <v>59</v>
      </c>
      <c r="G16" s="20" t="s">
        <v>29</v>
      </c>
    </row>
    <row r="17" spans="1:8" s="16" customFormat="1" ht="30" x14ac:dyDescent="0.25">
      <c r="A17" s="15" t="s">
        <v>60</v>
      </c>
      <c r="B17" s="12" t="s">
        <v>61</v>
      </c>
      <c r="C17" s="12" t="s">
        <v>61</v>
      </c>
      <c r="D17" s="15" t="s">
        <v>62</v>
      </c>
      <c r="E17" s="21"/>
      <c r="F17" s="21"/>
      <c r="G17" s="21" t="s">
        <v>29</v>
      </c>
      <c r="H17" s="47"/>
    </row>
    <row r="18" spans="1:8" s="16" customFormat="1" ht="60" x14ac:dyDescent="0.25">
      <c r="A18" s="14"/>
      <c r="B18" s="8" t="s">
        <v>25</v>
      </c>
      <c r="C18" s="8" t="s">
        <v>63</v>
      </c>
      <c r="D18" s="14" t="s">
        <v>64</v>
      </c>
      <c r="E18" s="20" t="s">
        <v>27</v>
      </c>
      <c r="F18" s="20" t="s">
        <v>28</v>
      </c>
      <c r="G18" s="20" t="s">
        <v>29</v>
      </c>
    </row>
    <row r="19" spans="1:8" s="16" customFormat="1" x14ac:dyDescent="0.25">
      <c r="A19" s="14"/>
      <c r="B19" s="8"/>
      <c r="C19" s="8" t="s">
        <v>65</v>
      </c>
      <c r="D19" s="14" t="s">
        <v>66</v>
      </c>
      <c r="E19" s="20" t="s">
        <v>27</v>
      </c>
      <c r="F19" s="20" t="s">
        <v>28</v>
      </c>
      <c r="G19" s="20" t="s">
        <v>29</v>
      </c>
    </row>
    <row r="20" spans="1:8" s="16" customFormat="1" x14ac:dyDescent="0.25">
      <c r="A20" s="14"/>
      <c r="B20" s="8" t="s">
        <v>67</v>
      </c>
      <c r="C20" s="8" t="s">
        <v>67</v>
      </c>
      <c r="D20" s="14" t="s">
        <v>68</v>
      </c>
      <c r="E20" s="20" t="s">
        <v>27</v>
      </c>
      <c r="F20" s="20" t="s">
        <v>28</v>
      </c>
      <c r="G20" s="20" t="s">
        <v>69</v>
      </c>
    </row>
    <row r="21" spans="1:8" x14ac:dyDescent="0.25">
      <c r="B21" s="8" t="s">
        <v>30</v>
      </c>
      <c r="C21" s="8" t="s">
        <v>31</v>
      </c>
      <c r="D21" s="14" t="s">
        <v>32</v>
      </c>
      <c r="E21" s="20" t="s">
        <v>27</v>
      </c>
      <c r="F21" s="20" t="s">
        <v>28</v>
      </c>
      <c r="G21" s="20" t="s">
        <v>29</v>
      </c>
    </row>
    <row r="22" spans="1:8" ht="30" x14ac:dyDescent="0.25">
      <c r="C22" s="8" t="s">
        <v>33</v>
      </c>
      <c r="D22" s="14" t="s">
        <v>34</v>
      </c>
      <c r="E22" s="20" t="s">
        <v>27</v>
      </c>
      <c r="F22" s="20" t="s">
        <v>28</v>
      </c>
      <c r="G22" s="20" t="s">
        <v>29</v>
      </c>
    </row>
    <row r="23" spans="1:8" ht="75" x14ac:dyDescent="0.25">
      <c r="C23" s="8" t="s">
        <v>35</v>
      </c>
      <c r="D23" s="14" t="s">
        <v>36</v>
      </c>
      <c r="E23" s="20" t="s">
        <v>27</v>
      </c>
      <c r="F23" s="20" t="s">
        <v>28</v>
      </c>
      <c r="G23" s="20" t="s">
        <v>29</v>
      </c>
    </row>
    <row r="24" spans="1:8" x14ac:dyDescent="0.25">
      <c r="C24" s="8" t="s">
        <v>37</v>
      </c>
      <c r="D24" s="14" t="s">
        <v>38</v>
      </c>
      <c r="E24" s="20" t="s">
        <v>27</v>
      </c>
      <c r="F24" s="20" t="s">
        <v>28</v>
      </c>
      <c r="G24" s="20" t="s">
        <v>29</v>
      </c>
    </row>
    <row r="25" spans="1:8" s="16" customFormat="1" x14ac:dyDescent="0.25">
      <c r="A25" s="14"/>
      <c r="B25" s="8" t="s">
        <v>70</v>
      </c>
      <c r="C25" s="8" t="s">
        <v>71</v>
      </c>
      <c r="D25" s="14" t="s">
        <v>72</v>
      </c>
      <c r="E25" s="20" t="s">
        <v>27</v>
      </c>
      <c r="F25" s="20" t="s">
        <v>28</v>
      </c>
      <c r="G25" s="20" t="s">
        <v>29</v>
      </c>
    </row>
    <row r="26" spans="1:8" s="16" customFormat="1" x14ac:dyDescent="0.25">
      <c r="A26" s="14"/>
      <c r="B26" s="8"/>
      <c r="C26" s="8" t="s">
        <v>73</v>
      </c>
      <c r="D26" s="14" t="s">
        <v>74</v>
      </c>
      <c r="E26" s="20" t="s">
        <v>27</v>
      </c>
      <c r="F26" s="20" t="s">
        <v>28</v>
      </c>
      <c r="G26" s="20" t="s">
        <v>29</v>
      </c>
    </row>
    <row r="27" spans="1:8" s="16" customFormat="1" ht="30" x14ac:dyDescent="0.25">
      <c r="A27" s="14"/>
      <c r="B27" s="8" t="s">
        <v>75</v>
      </c>
      <c r="C27" s="8" t="s">
        <v>75</v>
      </c>
      <c r="D27" s="14" t="s">
        <v>76</v>
      </c>
      <c r="E27" s="20" t="s">
        <v>27</v>
      </c>
      <c r="F27" s="20" t="s">
        <v>28</v>
      </c>
      <c r="G27" s="20" t="s">
        <v>69</v>
      </c>
    </row>
    <row r="28" spans="1:8" x14ac:dyDescent="0.25">
      <c r="B28" s="8" t="s">
        <v>39</v>
      </c>
      <c r="C28" s="8" t="s">
        <v>40</v>
      </c>
      <c r="D28" s="14" t="s">
        <v>41</v>
      </c>
      <c r="E28" s="20" t="s">
        <v>27</v>
      </c>
      <c r="F28" s="20" t="s">
        <v>28</v>
      </c>
      <c r="G28" s="20" t="s">
        <v>29</v>
      </c>
    </row>
    <row r="29" spans="1:8" ht="30" x14ac:dyDescent="0.25">
      <c r="C29" s="8" t="s">
        <v>42</v>
      </c>
      <c r="D29" s="14" t="s">
        <v>43</v>
      </c>
      <c r="E29" s="20" t="s">
        <v>27</v>
      </c>
      <c r="F29" s="20" t="s">
        <v>28</v>
      </c>
      <c r="G29" s="20" t="s">
        <v>29</v>
      </c>
    </row>
    <row r="30" spans="1:8" x14ac:dyDescent="0.25">
      <c r="C30" s="8" t="s">
        <v>44</v>
      </c>
      <c r="D30" s="14" t="s">
        <v>45</v>
      </c>
      <c r="E30" s="20" t="s">
        <v>27</v>
      </c>
      <c r="F30" s="20" t="s">
        <v>28</v>
      </c>
      <c r="G30" s="20" t="s">
        <v>29</v>
      </c>
    </row>
    <row r="31" spans="1:8" s="16" customFormat="1" x14ac:dyDescent="0.25">
      <c r="A31" s="14"/>
      <c r="B31" s="8" t="s">
        <v>77</v>
      </c>
      <c r="C31" s="8" t="s">
        <v>78</v>
      </c>
      <c r="D31" s="14" t="s">
        <v>79</v>
      </c>
      <c r="E31" s="20" t="s">
        <v>27</v>
      </c>
      <c r="F31" s="20" t="s">
        <v>28</v>
      </c>
      <c r="G31" s="20" t="s">
        <v>69</v>
      </c>
    </row>
    <row r="32" spans="1:8" s="16" customFormat="1" ht="45" x14ac:dyDescent="0.25">
      <c r="A32" s="14"/>
      <c r="B32" s="8"/>
      <c r="C32" s="8" t="s">
        <v>80</v>
      </c>
      <c r="D32" s="14" t="s">
        <v>81</v>
      </c>
      <c r="E32" s="20" t="s">
        <v>27</v>
      </c>
      <c r="F32" s="20" t="s">
        <v>28</v>
      </c>
      <c r="G32" s="20" t="s">
        <v>29</v>
      </c>
    </row>
    <row r="33" spans="1:7" s="16" customFormat="1" ht="45" x14ac:dyDescent="0.25">
      <c r="A33" s="14"/>
      <c r="C33" s="8" t="s">
        <v>82</v>
      </c>
      <c r="D33" s="14" t="s">
        <v>83</v>
      </c>
      <c r="E33" s="20" t="s">
        <v>27</v>
      </c>
      <c r="F33" s="20" t="s">
        <v>28</v>
      </c>
      <c r="G33" s="20" t="s">
        <v>29</v>
      </c>
    </row>
    <row r="34" spans="1:7" s="16" customFormat="1" ht="75" x14ac:dyDescent="0.25">
      <c r="A34" s="14"/>
      <c r="B34" s="8"/>
      <c r="C34" s="8" t="s">
        <v>84</v>
      </c>
      <c r="D34" s="14" t="s">
        <v>85</v>
      </c>
      <c r="E34" s="20" t="s">
        <v>27</v>
      </c>
      <c r="F34" s="20" t="s">
        <v>28</v>
      </c>
      <c r="G34" s="20" t="s">
        <v>29</v>
      </c>
    </row>
    <row r="35" spans="1:7" s="16" customFormat="1" x14ac:dyDescent="0.25">
      <c r="A35" s="14"/>
      <c r="B35" s="8" t="s">
        <v>86</v>
      </c>
      <c r="C35" s="8" t="s">
        <v>87</v>
      </c>
      <c r="D35" s="14" t="s">
        <v>88</v>
      </c>
      <c r="E35" s="20"/>
      <c r="F35" s="20" t="s">
        <v>28</v>
      </c>
      <c r="G35" s="20" t="s">
        <v>89</v>
      </c>
    </row>
    <row r="36" spans="1:7" s="16" customFormat="1" ht="75" x14ac:dyDescent="0.25">
      <c r="A36" s="14"/>
      <c r="C36" s="8" t="s">
        <v>90</v>
      </c>
      <c r="D36" s="14" t="s">
        <v>91</v>
      </c>
      <c r="E36" s="20" t="s">
        <v>27</v>
      </c>
      <c r="F36" s="20" t="s">
        <v>28</v>
      </c>
      <c r="G36" s="20" t="s">
        <v>89</v>
      </c>
    </row>
    <row r="37" spans="1:7" s="16" customFormat="1" ht="30" x14ac:dyDescent="0.25">
      <c r="A37" s="14"/>
      <c r="B37" s="8" t="s">
        <v>42</v>
      </c>
      <c r="C37" s="8" t="s">
        <v>42</v>
      </c>
      <c r="D37" s="14" t="s">
        <v>92</v>
      </c>
      <c r="E37" s="20" t="s">
        <v>27</v>
      </c>
      <c r="F37" s="20" t="s">
        <v>28</v>
      </c>
      <c r="G37" s="20" t="s">
        <v>29</v>
      </c>
    </row>
    <row r="38" spans="1:7" s="16" customFormat="1" x14ac:dyDescent="0.25">
      <c r="A38" s="14"/>
      <c r="B38" s="8" t="s">
        <v>51</v>
      </c>
      <c r="C38" s="8" t="s">
        <v>93</v>
      </c>
      <c r="D38" s="14" t="s">
        <v>94</v>
      </c>
      <c r="E38" s="20" t="s">
        <v>27</v>
      </c>
      <c r="F38" s="20" t="s">
        <v>28</v>
      </c>
      <c r="G38" s="20" t="s">
        <v>29</v>
      </c>
    </row>
    <row r="39" spans="1:7" s="16" customFormat="1" ht="30" x14ac:dyDescent="0.25">
      <c r="A39" s="14"/>
      <c r="B39" s="8" t="s">
        <v>95</v>
      </c>
      <c r="C39" s="8" t="s">
        <v>95</v>
      </c>
      <c r="D39" s="14" t="s">
        <v>96</v>
      </c>
      <c r="E39" s="20" t="s">
        <v>27</v>
      </c>
      <c r="F39" s="20"/>
      <c r="G39" s="20" t="s">
        <v>89</v>
      </c>
    </row>
    <row r="40" spans="1:7" s="16" customFormat="1" ht="45" x14ac:dyDescent="0.25">
      <c r="A40" s="14"/>
      <c r="B40" s="8" t="s">
        <v>53</v>
      </c>
      <c r="C40" s="8" t="s">
        <v>97</v>
      </c>
      <c r="D40" s="14" t="s">
        <v>98</v>
      </c>
      <c r="E40" s="20" t="s">
        <v>27</v>
      </c>
      <c r="F40" s="20" t="s">
        <v>28</v>
      </c>
      <c r="G40" s="20" t="s">
        <v>69</v>
      </c>
    </row>
    <row r="41" spans="1:7" s="16" customFormat="1" ht="75" x14ac:dyDescent="0.25">
      <c r="A41" s="14"/>
      <c r="B41" s="8"/>
      <c r="C41" s="8" t="s">
        <v>99</v>
      </c>
      <c r="D41" s="14" t="s">
        <v>100</v>
      </c>
      <c r="E41" s="20" t="s">
        <v>27</v>
      </c>
      <c r="F41" s="20" t="s">
        <v>28</v>
      </c>
      <c r="G41" s="20" t="s">
        <v>29</v>
      </c>
    </row>
    <row r="42" spans="1:7" s="16" customFormat="1" ht="30" x14ac:dyDescent="0.25">
      <c r="A42" s="14"/>
      <c r="B42" s="8"/>
      <c r="C42" s="8" t="s">
        <v>101</v>
      </c>
      <c r="D42" s="14" t="s">
        <v>102</v>
      </c>
      <c r="E42" s="20" t="s">
        <v>27</v>
      </c>
      <c r="F42" s="20"/>
      <c r="G42" s="20" t="s">
        <v>89</v>
      </c>
    </row>
    <row r="43" spans="1:7" s="16" customFormat="1" ht="60" x14ac:dyDescent="0.25">
      <c r="A43" s="14"/>
      <c r="B43" s="8" t="s">
        <v>103</v>
      </c>
      <c r="C43" s="8" t="s">
        <v>103</v>
      </c>
      <c r="D43" s="14" t="s">
        <v>104</v>
      </c>
      <c r="E43" s="20" t="s">
        <v>27</v>
      </c>
      <c r="F43" s="20" t="s">
        <v>28</v>
      </c>
      <c r="G43" s="20" t="s">
        <v>29</v>
      </c>
    </row>
    <row r="44" spans="1:7" s="16" customFormat="1" x14ac:dyDescent="0.25">
      <c r="A44" s="14"/>
      <c r="B44" s="8" t="s">
        <v>57</v>
      </c>
      <c r="C44" s="8" t="s">
        <v>57</v>
      </c>
      <c r="D44" s="14" t="s">
        <v>58</v>
      </c>
      <c r="E44" s="20" t="s">
        <v>27</v>
      </c>
      <c r="F44" s="20" t="s">
        <v>59</v>
      </c>
      <c r="G44" s="20" t="s">
        <v>29</v>
      </c>
    </row>
    <row r="45" spans="1:7" s="16" customFormat="1" ht="30" x14ac:dyDescent="0.25">
      <c r="A45" s="14"/>
      <c r="B45" s="8" t="s">
        <v>105</v>
      </c>
      <c r="C45" s="8" t="s">
        <v>106</v>
      </c>
      <c r="D45" s="14" t="s">
        <v>107</v>
      </c>
      <c r="E45" s="20" t="s">
        <v>27</v>
      </c>
      <c r="F45" s="20" t="s">
        <v>28</v>
      </c>
      <c r="G45" s="20" t="s">
        <v>29</v>
      </c>
    </row>
    <row r="46" spans="1:7" s="16" customFormat="1" ht="75" x14ac:dyDescent="0.25">
      <c r="A46" s="14"/>
      <c r="B46" s="8"/>
      <c r="C46" s="8" t="s">
        <v>108</v>
      </c>
      <c r="D46" s="14" t="s">
        <v>109</v>
      </c>
      <c r="E46" s="20" t="s">
        <v>27</v>
      </c>
      <c r="F46" s="20" t="s">
        <v>28</v>
      </c>
      <c r="G46" s="20" t="s">
        <v>29</v>
      </c>
    </row>
    <row r="47" spans="1:7" s="16" customFormat="1" ht="30" x14ac:dyDescent="0.25">
      <c r="A47" s="15" t="s">
        <v>110</v>
      </c>
      <c r="B47" s="12" t="s">
        <v>61</v>
      </c>
      <c r="C47" s="12" t="s">
        <v>61</v>
      </c>
      <c r="D47" s="15" t="s">
        <v>62</v>
      </c>
      <c r="E47" s="21"/>
      <c r="F47" s="21"/>
      <c r="G47" s="21" t="s">
        <v>29</v>
      </c>
    </row>
    <row r="48" spans="1:7" s="16" customFormat="1" x14ac:dyDescent="0.25">
      <c r="A48" s="14"/>
      <c r="B48" s="8" t="s">
        <v>25</v>
      </c>
      <c r="C48" s="8" t="s">
        <v>65</v>
      </c>
      <c r="D48" s="14" t="s">
        <v>66</v>
      </c>
      <c r="E48" s="20" t="s">
        <v>27</v>
      </c>
      <c r="F48" s="20" t="s">
        <v>28</v>
      </c>
      <c r="G48" s="20" t="s">
        <v>29</v>
      </c>
    </row>
    <row r="49" spans="1:7" s="16" customFormat="1" ht="45" x14ac:dyDescent="0.25">
      <c r="A49" s="14"/>
      <c r="B49" s="8" t="s">
        <v>111</v>
      </c>
      <c r="C49" s="8" t="s">
        <v>112</v>
      </c>
      <c r="D49" s="14" t="s">
        <v>113</v>
      </c>
      <c r="E49" s="20" t="s">
        <v>27</v>
      </c>
      <c r="F49" s="20" t="s">
        <v>28</v>
      </c>
      <c r="G49" s="20" t="s">
        <v>69</v>
      </c>
    </row>
    <row r="50" spans="1:7" s="16" customFormat="1" x14ac:dyDescent="0.25">
      <c r="A50" s="14"/>
      <c r="B50" s="8" t="s">
        <v>67</v>
      </c>
      <c r="C50" s="8" t="s">
        <v>67</v>
      </c>
      <c r="D50" s="14" t="s">
        <v>114</v>
      </c>
      <c r="E50" s="20" t="s">
        <v>27</v>
      </c>
      <c r="F50" s="20" t="s">
        <v>28</v>
      </c>
      <c r="G50" s="20" t="s">
        <v>69</v>
      </c>
    </row>
    <row r="51" spans="1:7" x14ac:dyDescent="0.25">
      <c r="B51" s="8" t="s">
        <v>30</v>
      </c>
      <c r="C51" s="8" t="s">
        <v>31</v>
      </c>
      <c r="D51" s="14" t="s">
        <v>32</v>
      </c>
      <c r="E51" s="20" t="s">
        <v>27</v>
      </c>
      <c r="F51" s="20" t="s">
        <v>28</v>
      </c>
      <c r="G51" s="20" t="s">
        <v>29</v>
      </c>
    </row>
    <row r="52" spans="1:7" ht="30" x14ac:dyDescent="0.25">
      <c r="C52" s="8" t="s">
        <v>33</v>
      </c>
      <c r="D52" s="14" t="s">
        <v>34</v>
      </c>
      <c r="E52" s="20" t="s">
        <v>27</v>
      </c>
      <c r="F52" s="20" t="s">
        <v>28</v>
      </c>
      <c r="G52" s="20" t="s">
        <v>29</v>
      </c>
    </row>
    <row r="53" spans="1:7" ht="75" x14ac:dyDescent="0.25">
      <c r="C53" s="8" t="s">
        <v>35</v>
      </c>
      <c r="D53" s="14" t="s">
        <v>36</v>
      </c>
      <c r="E53" s="20" t="s">
        <v>27</v>
      </c>
      <c r="F53" s="20" t="s">
        <v>28</v>
      </c>
      <c r="G53" s="20" t="s">
        <v>29</v>
      </c>
    </row>
    <row r="54" spans="1:7" x14ac:dyDescent="0.25">
      <c r="C54" s="8" t="s">
        <v>37</v>
      </c>
      <c r="D54" s="14" t="s">
        <v>38</v>
      </c>
      <c r="E54" s="20" t="s">
        <v>27</v>
      </c>
      <c r="F54" s="20" t="s">
        <v>28</v>
      </c>
      <c r="G54" s="20" t="s">
        <v>29</v>
      </c>
    </row>
    <row r="55" spans="1:7" s="16" customFormat="1" ht="90" x14ac:dyDescent="0.25">
      <c r="A55" s="14"/>
      <c r="B55" s="8" t="s">
        <v>70</v>
      </c>
      <c r="C55" s="8" t="s">
        <v>115</v>
      </c>
      <c r="D55" s="14" t="s">
        <v>116</v>
      </c>
      <c r="E55" s="20" t="s">
        <v>27</v>
      </c>
      <c r="F55" s="20" t="s">
        <v>28</v>
      </c>
      <c r="G55" s="20" t="s">
        <v>29</v>
      </c>
    </row>
    <row r="56" spans="1:7" s="16" customFormat="1" x14ac:dyDescent="0.25">
      <c r="A56" s="14"/>
      <c r="B56" s="8"/>
      <c r="C56" s="8" t="s">
        <v>73</v>
      </c>
      <c r="D56" s="14" t="s">
        <v>74</v>
      </c>
      <c r="E56" s="20" t="s">
        <v>27</v>
      </c>
      <c r="F56" s="20" t="s">
        <v>28</v>
      </c>
      <c r="G56" s="20" t="s">
        <v>29</v>
      </c>
    </row>
    <row r="57" spans="1:7" s="16" customFormat="1" ht="30" x14ac:dyDescent="0.25">
      <c r="A57" s="14"/>
      <c r="B57" s="8" t="s">
        <v>75</v>
      </c>
      <c r="C57" s="8" t="s">
        <v>75</v>
      </c>
      <c r="D57" s="14" t="s">
        <v>76</v>
      </c>
      <c r="E57" s="20" t="s">
        <v>27</v>
      </c>
      <c r="F57" s="20" t="s">
        <v>28</v>
      </c>
      <c r="G57" s="20" t="s">
        <v>69</v>
      </c>
    </row>
    <row r="58" spans="1:7" s="16" customFormat="1" x14ac:dyDescent="0.25">
      <c r="A58" s="14"/>
      <c r="B58" s="8" t="s">
        <v>77</v>
      </c>
      <c r="C58" s="8" t="s">
        <v>78</v>
      </c>
      <c r="D58" s="14" t="s">
        <v>79</v>
      </c>
      <c r="E58" s="20" t="s">
        <v>27</v>
      </c>
      <c r="F58" s="20" t="s">
        <v>28</v>
      </c>
      <c r="G58" s="20" t="s">
        <v>69</v>
      </c>
    </row>
    <row r="59" spans="1:7" s="16" customFormat="1" ht="45" x14ac:dyDescent="0.25">
      <c r="A59" s="14"/>
      <c r="B59" s="8"/>
      <c r="C59" s="8" t="s">
        <v>80</v>
      </c>
      <c r="D59" s="14" t="s">
        <v>81</v>
      </c>
      <c r="E59" s="20" t="s">
        <v>27</v>
      </c>
      <c r="F59" s="20" t="s">
        <v>28</v>
      </c>
      <c r="G59" s="20" t="s">
        <v>29</v>
      </c>
    </row>
    <row r="60" spans="1:7" s="16" customFormat="1" ht="45" x14ac:dyDescent="0.25">
      <c r="A60" s="14"/>
      <c r="C60" s="8" t="s">
        <v>82</v>
      </c>
      <c r="D60" s="14" t="s">
        <v>83</v>
      </c>
      <c r="E60" s="20" t="s">
        <v>27</v>
      </c>
      <c r="F60" s="20" t="s">
        <v>28</v>
      </c>
      <c r="G60" s="20" t="s">
        <v>29</v>
      </c>
    </row>
    <row r="61" spans="1:7" s="16" customFormat="1" ht="75" x14ac:dyDescent="0.25">
      <c r="A61" s="14"/>
      <c r="B61" s="8"/>
      <c r="C61" s="8" t="s">
        <v>84</v>
      </c>
      <c r="D61" s="14" t="s">
        <v>85</v>
      </c>
      <c r="E61" s="20" t="s">
        <v>27</v>
      </c>
      <c r="F61" s="20" t="s">
        <v>28</v>
      </c>
      <c r="G61" s="20" t="s">
        <v>29</v>
      </c>
    </row>
    <row r="62" spans="1:7" s="16" customFormat="1" ht="30" x14ac:dyDescent="0.25">
      <c r="A62" s="14"/>
      <c r="B62" s="8" t="s">
        <v>42</v>
      </c>
      <c r="C62" s="8" t="s">
        <v>42</v>
      </c>
      <c r="D62" s="14" t="s">
        <v>92</v>
      </c>
      <c r="E62" s="20" t="s">
        <v>27</v>
      </c>
      <c r="F62" s="20" t="s">
        <v>28</v>
      </c>
      <c r="G62" s="20" t="s">
        <v>29</v>
      </c>
    </row>
    <row r="63" spans="1:7" x14ac:dyDescent="0.25">
      <c r="B63" s="8" t="s">
        <v>57</v>
      </c>
      <c r="C63" s="8" t="s">
        <v>57</v>
      </c>
      <c r="D63" s="2" t="s">
        <v>58</v>
      </c>
      <c r="E63" s="20" t="s">
        <v>27</v>
      </c>
      <c r="F63" s="20" t="s">
        <v>59</v>
      </c>
      <c r="G63" s="20" t="s">
        <v>29</v>
      </c>
    </row>
    <row r="64" spans="1:7" s="16" customFormat="1" ht="45" x14ac:dyDescent="0.25">
      <c r="A64" s="15" t="s">
        <v>117</v>
      </c>
      <c r="B64" s="12" t="s">
        <v>111</v>
      </c>
      <c r="C64" s="12" t="s">
        <v>112</v>
      </c>
      <c r="D64" s="15" t="s">
        <v>113</v>
      </c>
      <c r="E64" s="21" t="s">
        <v>27</v>
      </c>
      <c r="F64" s="21" t="s">
        <v>28</v>
      </c>
      <c r="G64" s="21" t="s">
        <v>69</v>
      </c>
    </row>
    <row r="65" spans="1:7" x14ac:dyDescent="0.25">
      <c r="B65" s="8" t="s">
        <v>30</v>
      </c>
      <c r="C65" s="8" t="s">
        <v>31</v>
      </c>
      <c r="D65" s="14" t="s">
        <v>32</v>
      </c>
      <c r="E65" s="20" t="s">
        <v>27</v>
      </c>
      <c r="F65" s="20" t="s">
        <v>28</v>
      </c>
      <c r="G65" s="20" t="s">
        <v>29</v>
      </c>
    </row>
    <row r="66" spans="1:7" ht="30" x14ac:dyDescent="0.25">
      <c r="C66" s="8" t="s">
        <v>33</v>
      </c>
      <c r="D66" s="14" t="s">
        <v>34</v>
      </c>
      <c r="E66" s="20" t="s">
        <v>27</v>
      </c>
      <c r="F66" s="20" t="s">
        <v>28</v>
      </c>
      <c r="G66" s="20" t="s">
        <v>29</v>
      </c>
    </row>
    <row r="67" spans="1:7" ht="75" x14ac:dyDescent="0.25">
      <c r="C67" s="8" t="s">
        <v>35</v>
      </c>
      <c r="D67" s="14" t="s">
        <v>36</v>
      </c>
      <c r="E67" s="20" t="s">
        <v>27</v>
      </c>
      <c r="F67" s="20" t="s">
        <v>28</v>
      </c>
      <c r="G67" s="20" t="s">
        <v>29</v>
      </c>
    </row>
    <row r="68" spans="1:7" x14ac:dyDescent="0.25">
      <c r="C68" s="8" t="s">
        <v>37</v>
      </c>
      <c r="D68" s="14" t="s">
        <v>38</v>
      </c>
      <c r="E68" s="20" t="s">
        <v>27</v>
      </c>
      <c r="F68" s="20" t="s">
        <v>28</v>
      </c>
      <c r="G68" s="20" t="s">
        <v>29</v>
      </c>
    </row>
    <row r="69" spans="1:7" s="16" customFormat="1" ht="90" x14ac:dyDescent="0.25">
      <c r="A69" s="14"/>
      <c r="B69" s="8" t="s">
        <v>70</v>
      </c>
      <c r="C69" s="8" t="s">
        <v>115</v>
      </c>
      <c r="D69" s="14" t="s">
        <v>116</v>
      </c>
      <c r="E69" s="20" t="s">
        <v>27</v>
      </c>
      <c r="F69" s="20" t="s">
        <v>28</v>
      </c>
      <c r="G69" s="20" t="s">
        <v>29</v>
      </c>
    </row>
    <row r="70" spans="1:7" s="16" customFormat="1" x14ac:dyDescent="0.25">
      <c r="A70" s="14"/>
      <c r="B70" s="8"/>
      <c r="C70" s="8" t="s">
        <v>73</v>
      </c>
      <c r="D70" s="14" t="s">
        <v>74</v>
      </c>
      <c r="E70" s="20" t="s">
        <v>27</v>
      </c>
      <c r="F70" s="20" t="s">
        <v>28</v>
      </c>
      <c r="G70" s="20" t="s">
        <v>29</v>
      </c>
    </row>
    <row r="71" spans="1:7" s="16" customFormat="1" x14ac:dyDescent="0.25">
      <c r="A71" s="14"/>
      <c r="B71" s="8" t="s">
        <v>77</v>
      </c>
      <c r="C71" s="8" t="s">
        <v>78</v>
      </c>
      <c r="D71" s="14" t="s">
        <v>79</v>
      </c>
      <c r="E71" s="20" t="s">
        <v>27</v>
      </c>
      <c r="F71" s="20" t="s">
        <v>28</v>
      </c>
      <c r="G71" s="20" t="s">
        <v>69</v>
      </c>
    </row>
    <row r="72" spans="1:7" s="16" customFormat="1" ht="45" x14ac:dyDescent="0.25">
      <c r="A72" s="14"/>
      <c r="B72" s="8"/>
      <c r="C72" s="8" t="s">
        <v>80</v>
      </c>
      <c r="D72" s="14" t="s">
        <v>81</v>
      </c>
      <c r="E72" s="20" t="s">
        <v>27</v>
      </c>
      <c r="F72" s="20" t="s">
        <v>28</v>
      </c>
      <c r="G72" s="20" t="s">
        <v>29</v>
      </c>
    </row>
    <row r="73" spans="1:7" s="16" customFormat="1" ht="45" x14ac:dyDescent="0.25">
      <c r="A73" s="14"/>
      <c r="C73" s="8" t="s">
        <v>82</v>
      </c>
      <c r="D73" s="14" t="s">
        <v>83</v>
      </c>
      <c r="E73" s="20" t="s">
        <v>27</v>
      </c>
      <c r="F73" s="20" t="s">
        <v>28</v>
      </c>
      <c r="G73" s="20" t="s">
        <v>29</v>
      </c>
    </row>
    <row r="74" spans="1:7" s="16" customFormat="1" ht="75" x14ac:dyDescent="0.25">
      <c r="A74" s="14"/>
      <c r="B74" s="8"/>
      <c r="C74" s="8" t="s">
        <v>84</v>
      </c>
      <c r="D74" s="14" t="s">
        <v>85</v>
      </c>
      <c r="E74" s="20" t="s">
        <v>27</v>
      </c>
      <c r="F74" s="20" t="s">
        <v>28</v>
      </c>
      <c r="G74" s="20" t="s">
        <v>29</v>
      </c>
    </row>
    <row r="75" spans="1:7" s="16" customFormat="1" ht="30" x14ac:dyDescent="0.25">
      <c r="A75" s="14"/>
      <c r="B75" s="8" t="s">
        <v>42</v>
      </c>
      <c r="C75" s="8" t="s">
        <v>42</v>
      </c>
      <c r="D75" s="14" t="s">
        <v>92</v>
      </c>
      <c r="E75" s="20" t="s">
        <v>27</v>
      </c>
      <c r="F75" s="20" t="s">
        <v>28</v>
      </c>
      <c r="G75" s="20" t="s">
        <v>29</v>
      </c>
    </row>
    <row r="76" spans="1:7" s="16" customFormat="1" x14ac:dyDescent="0.25">
      <c r="A76" s="14"/>
      <c r="B76" s="8" t="s">
        <v>51</v>
      </c>
      <c r="C76" s="8" t="s">
        <v>93</v>
      </c>
      <c r="D76" s="14" t="s">
        <v>94</v>
      </c>
      <c r="E76" s="20" t="s">
        <v>27</v>
      </c>
      <c r="F76" s="20" t="s">
        <v>28</v>
      </c>
      <c r="G76" s="20" t="s">
        <v>29</v>
      </c>
    </row>
    <row r="77" spans="1:7" x14ac:dyDescent="0.25">
      <c r="B77" s="8" t="s">
        <v>57</v>
      </c>
      <c r="C77" s="8" t="s">
        <v>57</v>
      </c>
      <c r="D77" s="2" t="s">
        <v>58</v>
      </c>
      <c r="E77" s="20" t="s">
        <v>27</v>
      </c>
      <c r="F77" s="20" t="s">
        <v>59</v>
      </c>
      <c r="G77" s="20" t="s">
        <v>29</v>
      </c>
    </row>
    <row r="78" spans="1:7" s="16" customFormat="1" x14ac:dyDescent="0.25">
      <c r="A78" s="15" t="s">
        <v>118</v>
      </c>
      <c r="B78" s="12" t="s">
        <v>30</v>
      </c>
      <c r="C78" s="12" t="s">
        <v>31</v>
      </c>
      <c r="D78" s="15" t="s">
        <v>32</v>
      </c>
      <c r="E78" s="21" t="s">
        <v>27</v>
      </c>
      <c r="F78" s="21" t="s">
        <v>28</v>
      </c>
      <c r="G78" s="21" t="s">
        <v>29</v>
      </c>
    </row>
    <row r="79" spans="1:7" ht="30" x14ac:dyDescent="0.25">
      <c r="C79" s="8" t="s">
        <v>33</v>
      </c>
      <c r="D79" s="14" t="s">
        <v>34</v>
      </c>
      <c r="E79" s="20" t="s">
        <v>27</v>
      </c>
      <c r="F79" s="20" t="s">
        <v>28</v>
      </c>
      <c r="G79" s="20" t="s">
        <v>29</v>
      </c>
    </row>
    <row r="80" spans="1:7" ht="75" x14ac:dyDescent="0.25">
      <c r="C80" s="8" t="s">
        <v>35</v>
      </c>
      <c r="D80" s="14" t="s">
        <v>36</v>
      </c>
      <c r="E80" s="20" t="s">
        <v>27</v>
      </c>
      <c r="F80" s="20" t="s">
        <v>28</v>
      </c>
      <c r="G80" s="20" t="s">
        <v>29</v>
      </c>
    </row>
    <row r="81" spans="1:8" x14ac:dyDescent="0.25">
      <c r="C81" s="8" t="s">
        <v>37</v>
      </c>
      <c r="D81" s="14" t="s">
        <v>38</v>
      </c>
      <c r="E81" s="20" t="s">
        <v>27</v>
      </c>
      <c r="F81" s="20" t="s">
        <v>28</v>
      </c>
      <c r="G81" s="20" t="s">
        <v>29</v>
      </c>
    </row>
    <row r="82" spans="1:8" s="16" customFormat="1" ht="90" x14ac:dyDescent="0.25">
      <c r="A82" s="14"/>
      <c r="B82" s="8" t="s">
        <v>70</v>
      </c>
      <c r="C82" s="8" t="s">
        <v>115</v>
      </c>
      <c r="D82" s="14" t="s">
        <v>116</v>
      </c>
      <c r="E82" s="20" t="s">
        <v>27</v>
      </c>
      <c r="F82" s="20" t="s">
        <v>28</v>
      </c>
      <c r="G82" s="20" t="s">
        <v>29</v>
      </c>
    </row>
    <row r="83" spans="1:8" s="16" customFormat="1" x14ac:dyDescent="0.25">
      <c r="A83" s="14"/>
      <c r="B83" s="8"/>
      <c r="C83" s="8" t="s">
        <v>73</v>
      </c>
      <c r="D83" s="14" t="s">
        <v>74</v>
      </c>
      <c r="E83" s="20" t="s">
        <v>27</v>
      </c>
      <c r="F83" s="20" t="s">
        <v>28</v>
      </c>
      <c r="G83" s="20" t="s">
        <v>29</v>
      </c>
    </row>
    <row r="84" spans="1:8" s="16" customFormat="1" ht="45" x14ac:dyDescent="0.25">
      <c r="A84" s="14"/>
      <c r="B84" s="8" t="s">
        <v>77</v>
      </c>
      <c r="C84" s="8" t="s">
        <v>80</v>
      </c>
      <c r="D84" s="14" t="s">
        <v>81</v>
      </c>
      <c r="E84" s="20" t="s">
        <v>27</v>
      </c>
      <c r="F84" s="20" t="s">
        <v>28</v>
      </c>
      <c r="G84" s="20" t="s">
        <v>29</v>
      </c>
    </row>
    <row r="85" spans="1:8" s="16" customFormat="1" ht="30" x14ac:dyDescent="0.25">
      <c r="A85" s="14"/>
      <c r="B85" s="8" t="s">
        <v>42</v>
      </c>
      <c r="C85" s="8" t="s">
        <v>42</v>
      </c>
      <c r="D85" s="14" t="s">
        <v>92</v>
      </c>
      <c r="E85" s="20" t="s">
        <v>27</v>
      </c>
      <c r="F85" s="20" t="s">
        <v>28</v>
      </c>
      <c r="G85" s="20" t="s">
        <v>29</v>
      </c>
    </row>
    <row r="86" spans="1:8" x14ac:dyDescent="0.25">
      <c r="B86" s="8" t="s">
        <v>57</v>
      </c>
      <c r="C86" s="8" t="s">
        <v>57</v>
      </c>
      <c r="D86" s="2" t="s">
        <v>58</v>
      </c>
      <c r="E86" s="20" t="s">
        <v>27</v>
      </c>
      <c r="F86" s="20" t="s">
        <v>59</v>
      </c>
      <c r="G86" s="20" t="s">
        <v>29</v>
      </c>
    </row>
    <row r="87" spans="1:8" s="16" customFormat="1" ht="30" x14ac:dyDescent="0.25">
      <c r="A87" s="15" t="s">
        <v>119</v>
      </c>
      <c r="B87" s="12" t="s">
        <v>30</v>
      </c>
      <c r="C87" s="12" t="s">
        <v>31</v>
      </c>
      <c r="D87" s="15" t="s">
        <v>32</v>
      </c>
      <c r="E87" s="21" t="s">
        <v>27</v>
      </c>
      <c r="F87" s="21" t="s">
        <v>28</v>
      </c>
      <c r="G87" s="21" t="s">
        <v>89</v>
      </c>
    </row>
    <row r="88" spans="1:8" ht="30" x14ac:dyDescent="0.25">
      <c r="C88" s="8" t="s">
        <v>33</v>
      </c>
      <c r="D88" s="14" t="s">
        <v>34</v>
      </c>
      <c r="E88" s="20" t="s">
        <v>27</v>
      </c>
      <c r="F88" s="20" t="s">
        <v>28</v>
      </c>
      <c r="G88" s="20" t="s">
        <v>89</v>
      </c>
    </row>
    <row r="89" spans="1:8" ht="75" x14ac:dyDescent="0.25">
      <c r="C89" s="8" t="s">
        <v>35</v>
      </c>
      <c r="D89" s="14" t="s">
        <v>36</v>
      </c>
      <c r="E89" s="20" t="s">
        <v>27</v>
      </c>
      <c r="F89" s="20" t="s">
        <v>28</v>
      </c>
      <c r="G89" s="20" t="s">
        <v>89</v>
      </c>
    </row>
    <row r="90" spans="1:8" x14ac:dyDescent="0.25">
      <c r="C90" s="8" t="s">
        <v>37</v>
      </c>
      <c r="D90" s="14" t="s">
        <v>38</v>
      </c>
      <c r="E90" s="20" t="s">
        <v>27</v>
      </c>
      <c r="F90" s="20" t="s">
        <v>28</v>
      </c>
      <c r="G90" s="20" t="s">
        <v>89</v>
      </c>
    </row>
    <row r="91" spans="1:8" s="16" customFormat="1" ht="90" x14ac:dyDescent="0.25">
      <c r="A91" s="14"/>
      <c r="B91" s="8" t="s">
        <v>70</v>
      </c>
      <c r="C91" s="8" t="s">
        <v>115</v>
      </c>
      <c r="D91" s="14" t="s">
        <v>116</v>
      </c>
      <c r="E91" s="20" t="s">
        <v>27</v>
      </c>
      <c r="F91" s="20" t="s">
        <v>28</v>
      </c>
      <c r="G91" s="20" t="s">
        <v>89</v>
      </c>
    </row>
    <row r="92" spans="1:8" s="16" customFormat="1" x14ac:dyDescent="0.25">
      <c r="A92" s="14"/>
      <c r="B92" s="8"/>
      <c r="C92" s="8" t="s">
        <v>73</v>
      </c>
      <c r="D92" s="14" t="s">
        <v>74</v>
      </c>
      <c r="E92" s="20" t="s">
        <v>27</v>
      </c>
      <c r="F92" s="20" t="s">
        <v>28</v>
      </c>
      <c r="G92" s="20" t="s">
        <v>89</v>
      </c>
    </row>
    <row r="93" spans="1:8" s="16" customFormat="1" ht="30" x14ac:dyDescent="0.25">
      <c r="A93" s="14"/>
      <c r="B93" s="8" t="s">
        <v>42</v>
      </c>
      <c r="C93" s="8" t="s">
        <v>42</v>
      </c>
      <c r="D93" s="14" t="s">
        <v>92</v>
      </c>
      <c r="E93" s="20" t="s">
        <v>27</v>
      </c>
      <c r="F93" s="20" t="s">
        <v>28</v>
      </c>
      <c r="G93" s="20" t="s">
        <v>89</v>
      </c>
    </row>
    <row r="94" spans="1:8" x14ac:dyDescent="0.25">
      <c r="B94" s="8" t="s">
        <v>57</v>
      </c>
      <c r="C94" s="8" t="s">
        <v>57</v>
      </c>
      <c r="D94" s="2" t="s">
        <v>58</v>
      </c>
      <c r="E94" s="20" t="s">
        <v>27</v>
      </c>
      <c r="F94" s="20" t="s">
        <v>59</v>
      </c>
      <c r="G94" s="20" t="s">
        <v>89</v>
      </c>
    </row>
    <row r="95" spans="1:8" x14ac:dyDescent="0.25">
      <c r="A95" s="12" t="s">
        <v>120</v>
      </c>
      <c r="B95" s="12" t="s">
        <v>121</v>
      </c>
      <c r="C95" s="12" t="s">
        <v>121</v>
      </c>
      <c r="D95" s="12" t="s">
        <v>122</v>
      </c>
      <c r="E95" s="22" t="s">
        <v>28</v>
      </c>
      <c r="F95" s="21" t="s">
        <v>59</v>
      </c>
      <c r="G95" s="21" t="s">
        <v>27</v>
      </c>
      <c r="H95" s="12"/>
    </row>
    <row r="96" spans="1:8" x14ac:dyDescent="0.25">
      <c r="B96" s="8" t="s">
        <v>123</v>
      </c>
      <c r="C96" s="8" t="s">
        <v>124</v>
      </c>
      <c r="D96" s="8" t="s">
        <v>125</v>
      </c>
      <c r="E96" s="23" t="s">
        <v>28</v>
      </c>
      <c r="F96" s="20" t="s">
        <v>59</v>
      </c>
      <c r="G96" s="20" t="s">
        <v>27</v>
      </c>
    </row>
    <row r="97" spans="1:8" x14ac:dyDescent="0.25">
      <c r="B97" s="8" t="s">
        <v>126</v>
      </c>
      <c r="C97" s="8" t="s">
        <v>127</v>
      </c>
      <c r="D97" s="8" t="s">
        <v>128</v>
      </c>
      <c r="E97" s="23" t="s">
        <v>28</v>
      </c>
      <c r="F97" s="20" t="s">
        <v>59</v>
      </c>
      <c r="G97" s="20" t="s">
        <v>27</v>
      </c>
    </row>
    <row r="98" spans="1:8" ht="90" x14ac:dyDescent="0.25">
      <c r="A98" s="12" t="s">
        <v>129</v>
      </c>
      <c r="B98" s="3" t="s">
        <v>39</v>
      </c>
      <c r="C98" s="3" t="s">
        <v>130</v>
      </c>
      <c r="D98" s="46" t="s">
        <v>131</v>
      </c>
      <c r="E98" s="21" t="s">
        <v>28</v>
      </c>
      <c r="F98" s="21" t="s">
        <v>59</v>
      </c>
      <c r="G98" s="21" t="s">
        <v>29</v>
      </c>
      <c r="H98" s="12"/>
    </row>
    <row r="99" spans="1:8" ht="90" x14ac:dyDescent="0.25">
      <c r="B99" s="1" t="s">
        <v>132</v>
      </c>
      <c r="C99" s="1" t="s">
        <v>132</v>
      </c>
      <c r="D99" s="2" t="s">
        <v>133</v>
      </c>
      <c r="E99" s="20" t="s">
        <v>28</v>
      </c>
      <c r="F99" s="20" t="s">
        <v>59</v>
      </c>
      <c r="G99" s="20" t="s">
        <v>29</v>
      </c>
    </row>
    <row r="100" spans="1:8" ht="60" x14ac:dyDescent="0.25">
      <c r="B100" s="1" t="s">
        <v>134</v>
      </c>
      <c r="C100" s="1" t="s">
        <v>135</v>
      </c>
      <c r="D100" s="2" t="s">
        <v>136</v>
      </c>
      <c r="E100" s="20" t="s">
        <v>59</v>
      </c>
      <c r="F100" s="20" t="s">
        <v>59</v>
      </c>
      <c r="G100" s="20" t="s">
        <v>29</v>
      </c>
    </row>
    <row r="101" spans="1:8" ht="45" x14ac:dyDescent="0.25">
      <c r="B101" s="1"/>
      <c r="C101" s="1" t="s">
        <v>134</v>
      </c>
      <c r="D101" s="2" t="s">
        <v>137</v>
      </c>
      <c r="E101" s="20" t="s">
        <v>59</v>
      </c>
      <c r="F101" s="20" t="s">
        <v>59</v>
      </c>
      <c r="G101" s="20" t="s">
        <v>29</v>
      </c>
    </row>
    <row r="102" spans="1:8" ht="45" x14ac:dyDescent="0.25">
      <c r="B102" s="1"/>
      <c r="C102" s="1" t="s">
        <v>106</v>
      </c>
      <c r="D102" s="2" t="s">
        <v>138</v>
      </c>
      <c r="E102" s="20" t="s">
        <v>59</v>
      </c>
      <c r="F102" s="20" t="s">
        <v>59</v>
      </c>
      <c r="G102" s="20" t="s">
        <v>29</v>
      </c>
    </row>
    <row r="103" spans="1:8" ht="60" x14ac:dyDescent="0.25">
      <c r="B103" s="1"/>
      <c r="C103" s="1" t="s">
        <v>139</v>
      </c>
      <c r="D103" s="2" t="s">
        <v>140</v>
      </c>
      <c r="E103" s="20" t="s">
        <v>59</v>
      </c>
      <c r="F103" s="20" t="s">
        <v>59</v>
      </c>
      <c r="G103" s="20" t="s">
        <v>29</v>
      </c>
    </row>
    <row r="104" spans="1:8" ht="105" x14ac:dyDescent="0.25">
      <c r="B104" s="1" t="s">
        <v>141</v>
      </c>
      <c r="C104" s="1" t="s">
        <v>142</v>
      </c>
      <c r="D104" s="2" t="s">
        <v>143</v>
      </c>
      <c r="E104" s="20" t="s">
        <v>28</v>
      </c>
      <c r="F104" s="20" t="s">
        <v>59</v>
      </c>
      <c r="G104" s="20" t="s">
        <v>29</v>
      </c>
    </row>
    <row r="105" spans="1:8" ht="30" x14ac:dyDescent="0.25">
      <c r="B105" s="1"/>
      <c r="C105" s="1" t="s">
        <v>144</v>
      </c>
      <c r="D105" s="2" t="s">
        <v>145</v>
      </c>
      <c r="E105" s="20" t="s">
        <v>59</v>
      </c>
      <c r="F105" s="20" t="s">
        <v>59</v>
      </c>
      <c r="G105" s="20" t="s">
        <v>29</v>
      </c>
    </row>
    <row r="106" spans="1:8" ht="135" x14ac:dyDescent="0.25">
      <c r="B106" s="1"/>
      <c r="C106" s="1" t="s">
        <v>53</v>
      </c>
      <c r="D106" s="2" t="s">
        <v>146</v>
      </c>
      <c r="E106" s="20" t="s">
        <v>28</v>
      </c>
      <c r="F106" s="20" t="s">
        <v>59</v>
      </c>
      <c r="G106" s="20" t="s">
        <v>29</v>
      </c>
    </row>
    <row r="107" spans="1:8" ht="120" x14ac:dyDescent="0.25">
      <c r="B107" s="1"/>
      <c r="C107" s="1" t="s">
        <v>147</v>
      </c>
      <c r="D107" s="2" t="s">
        <v>148</v>
      </c>
      <c r="E107" s="20" t="s">
        <v>28</v>
      </c>
      <c r="F107" s="20" t="s">
        <v>59</v>
      </c>
      <c r="G107" s="20" t="s">
        <v>29</v>
      </c>
    </row>
    <row r="108" spans="1:8" ht="120" x14ac:dyDescent="0.25">
      <c r="B108" s="1"/>
      <c r="C108" s="1" t="s">
        <v>149</v>
      </c>
      <c r="D108" s="2" t="s">
        <v>150</v>
      </c>
      <c r="E108" s="20" t="s">
        <v>28</v>
      </c>
      <c r="F108" s="20" t="s">
        <v>59</v>
      </c>
      <c r="G108" s="20" t="s">
        <v>29</v>
      </c>
    </row>
    <row r="109" spans="1:8" ht="90" x14ac:dyDescent="0.25">
      <c r="B109" s="1" t="s">
        <v>151</v>
      </c>
      <c r="C109" s="1" t="s">
        <v>152</v>
      </c>
      <c r="D109" s="2" t="s">
        <v>153</v>
      </c>
      <c r="E109" s="20" t="s">
        <v>28</v>
      </c>
      <c r="F109" s="20" t="s">
        <v>59</v>
      </c>
      <c r="G109" s="20" t="s">
        <v>29</v>
      </c>
    </row>
    <row r="110" spans="1:8" ht="60" x14ac:dyDescent="0.25">
      <c r="B110" s="1"/>
      <c r="C110" s="1" t="s">
        <v>154</v>
      </c>
      <c r="D110" s="2" t="s">
        <v>155</v>
      </c>
      <c r="E110" s="20" t="s">
        <v>59</v>
      </c>
      <c r="F110" s="20" t="s">
        <v>59</v>
      </c>
      <c r="G110" s="20" t="s">
        <v>29</v>
      </c>
    </row>
    <row r="111" spans="1:8" ht="270" x14ac:dyDescent="0.25">
      <c r="B111" s="1"/>
      <c r="C111" s="1" t="s">
        <v>156</v>
      </c>
      <c r="D111" s="2" t="s">
        <v>157</v>
      </c>
      <c r="E111" s="20" t="s">
        <v>28</v>
      </c>
      <c r="F111" s="20" t="s">
        <v>59</v>
      </c>
      <c r="G111" s="20" t="s">
        <v>29</v>
      </c>
    </row>
    <row r="112" spans="1:8" ht="75" x14ac:dyDescent="0.25">
      <c r="B112" s="1"/>
      <c r="C112" s="1" t="s">
        <v>158</v>
      </c>
      <c r="D112" s="2" t="s">
        <v>159</v>
      </c>
      <c r="E112" s="20" t="s">
        <v>28</v>
      </c>
      <c r="F112" s="20" t="s">
        <v>59</v>
      </c>
      <c r="G112" s="20" t="s">
        <v>29</v>
      </c>
    </row>
    <row r="113" spans="1:8" x14ac:dyDescent="0.25">
      <c r="B113" s="1"/>
      <c r="C113" s="1" t="s">
        <v>160</v>
      </c>
      <c r="D113" s="2" t="s">
        <v>161</v>
      </c>
      <c r="E113" s="20" t="s">
        <v>28</v>
      </c>
      <c r="F113" s="20" t="s">
        <v>59</v>
      </c>
      <c r="G113" s="20" t="s">
        <v>29</v>
      </c>
    </row>
    <row r="114" spans="1:8" x14ac:dyDescent="0.25">
      <c r="B114" s="24" t="s">
        <v>57</v>
      </c>
      <c r="C114" s="24" t="s">
        <v>57</v>
      </c>
      <c r="D114" s="2" t="s">
        <v>58</v>
      </c>
      <c r="E114" s="20" t="s">
        <v>59</v>
      </c>
      <c r="F114" s="20" t="s">
        <v>59</v>
      </c>
      <c r="G114" s="20" t="s">
        <v>29</v>
      </c>
    </row>
    <row r="115" spans="1:8" ht="45" x14ac:dyDescent="0.25">
      <c r="B115" s="1" t="s">
        <v>162</v>
      </c>
      <c r="C115" s="1" t="s">
        <v>163</v>
      </c>
      <c r="D115" s="2" t="s">
        <v>164</v>
      </c>
      <c r="E115" s="20" t="s">
        <v>59</v>
      </c>
      <c r="F115" s="20" t="s">
        <v>59</v>
      </c>
      <c r="G115" s="20" t="s">
        <v>29</v>
      </c>
    </row>
    <row r="116" spans="1:8" ht="60" x14ac:dyDescent="0.25">
      <c r="B116" s="1"/>
      <c r="C116" s="1" t="s">
        <v>37</v>
      </c>
      <c r="D116" s="2" t="s">
        <v>165</v>
      </c>
      <c r="E116" s="20" t="s">
        <v>28</v>
      </c>
      <c r="F116" s="20" t="s">
        <v>59</v>
      </c>
      <c r="G116" s="20" t="s">
        <v>29</v>
      </c>
    </row>
    <row r="117" spans="1:8" ht="30" x14ac:dyDescent="0.25">
      <c r="A117" s="4" t="s">
        <v>166</v>
      </c>
      <c r="B117" s="12" t="s">
        <v>46</v>
      </c>
      <c r="C117" s="12" t="s">
        <v>46</v>
      </c>
      <c r="D117" s="15" t="s">
        <v>167</v>
      </c>
      <c r="E117" s="21" t="s">
        <v>59</v>
      </c>
      <c r="F117" s="21" t="s">
        <v>59</v>
      </c>
      <c r="G117" s="21" t="s">
        <v>27</v>
      </c>
      <c r="H117" s="5"/>
    </row>
    <row r="118" spans="1:8" ht="30" x14ac:dyDescent="0.25">
      <c r="A118" s="6"/>
      <c r="B118" s="8" t="s">
        <v>105</v>
      </c>
      <c r="C118" s="8" t="s">
        <v>105</v>
      </c>
      <c r="D118" s="14" t="s">
        <v>168</v>
      </c>
      <c r="E118" s="20" t="s">
        <v>59</v>
      </c>
      <c r="F118" s="20" t="s">
        <v>59</v>
      </c>
      <c r="G118" s="20" t="s">
        <v>27</v>
      </c>
      <c r="H118" s="7"/>
    </row>
    <row r="119" spans="1:8" x14ac:dyDescent="0.25">
      <c r="A119" s="6"/>
      <c r="B119" s="8" t="s">
        <v>169</v>
      </c>
      <c r="C119" s="8" t="s">
        <v>169</v>
      </c>
      <c r="D119" s="14" t="s">
        <v>170</v>
      </c>
      <c r="E119" s="20" t="s">
        <v>59</v>
      </c>
      <c r="F119" s="20" t="s">
        <v>59</v>
      </c>
      <c r="G119" s="20" t="s">
        <v>27</v>
      </c>
      <c r="H119" s="7"/>
    </row>
    <row r="120" spans="1:8" x14ac:dyDescent="0.25">
      <c r="A120" s="6"/>
      <c r="B120" s="8" t="s">
        <v>171</v>
      </c>
      <c r="C120" s="8" t="s">
        <v>171</v>
      </c>
      <c r="D120" s="14" t="s">
        <v>172</v>
      </c>
      <c r="E120" s="20" t="s">
        <v>59</v>
      </c>
      <c r="F120" s="20" t="s">
        <v>59</v>
      </c>
      <c r="G120" s="20" t="s">
        <v>27</v>
      </c>
      <c r="H120" s="7"/>
    </row>
    <row r="121" spans="1:8" x14ac:dyDescent="0.25">
      <c r="A121" s="4" t="s">
        <v>173</v>
      </c>
      <c r="B121" s="12" t="s">
        <v>174</v>
      </c>
      <c r="C121" s="12" t="s">
        <v>175</v>
      </c>
      <c r="D121" s="15"/>
      <c r="E121" s="21" t="s">
        <v>59</v>
      </c>
      <c r="F121" s="21" t="s">
        <v>59</v>
      </c>
      <c r="G121" s="21" t="s">
        <v>27</v>
      </c>
      <c r="H121" s="5"/>
    </row>
    <row r="122" spans="1:8" x14ac:dyDescent="0.25">
      <c r="A122" s="6"/>
      <c r="C122" s="8" t="s">
        <v>176</v>
      </c>
      <c r="E122" s="20" t="s">
        <v>59</v>
      </c>
      <c r="F122" s="20" t="s">
        <v>59</v>
      </c>
      <c r="G122" s="20" t="s">
        <v>27</v>
      </c>
      <c r="H122" s="7"/>
    </row>
    <row r="123" spans="1:8" ht="30" x14ac:dyDescent="0.25">
      <c r="A123" s="6"/>
      <c r="C123" s="8" t="s">
        <v>177</v>
      </c>
      <c r="D123" s="14" t="s">
        <v>178</v>
      </c>
      <c r="E123" s="20" t="s">
        <v>59</v>
      </c>
      <c r="F123" s="20" t="s">
        <v>59</v>
      </c>
      <c r="G123" s="20" t="s">
        <v>27</v>
      </c>
      <c r="H123" s="7"/>
    </row>
    <row r="124" spans="1:8" x14ac:dyDescent="0.25">
      <c r="A124" s="6"/>
      <c r="C124" s="8" t="s">
        <v>179</v>
      </c>
      <c r="E124" s="20" t="s">
        <v>59</v>
      </c>
      <c r="F124" s="20" t="s">
        <v>59</v>
      </c>
      <c r="G124" s="20" t="s">
        <v>27</v>
      </c>
      <c r="H124" s="7"/>
    </row>
    <row r="125" spans="1:8" x14ac:dyDescent="0.25">
      <c r="A125" s="6"/>
      <c r="C125" s="8" t="s">
        <v>180</v>
      </c>
      <c r="D125" s="14" t="s">
        <v>181</v>
      </c>
      <c r="E125" s="20" t="s">
        <v>59</v>
      </c>
      <c r="F125" s="20" t="s">
        <v>59</v>
      </c>
      <c r="G125" s="20" t="s">
        <v>27</v>
      </c>
      <c r="H125" s="7"/>
    </row>
    <row r="126" spans="1:8" x14ac:dyDescent="0.25">
      <c r="A126" s="6"/>
      <c r="C126" s="8" t="s">
        <v>182</v>
      </c>
      <c r="D126" s="14" t="s">
        <v>183</v>
      </c>
      <c r="E126" s="20" t="s">
        <v>59</v>
      </c>
      <c r="F126" s="20" t="s">
        <v>59</v>
      </c>
      <c r="G126" s="20" t="s">
        <v>27</v>
      </c>
      <c r="H126" s="7"/>
    </row>
    <row r="127" spans="1:8" x14ac:dyDescent="0.25">
      <c r="A127" s="6"/>
      <c r="C127" s="8" t="s">
        <v>184</v>
      </c>
      <c r="E127" s="20" t="s">
        <v>59</v>
      </c>
      <c r="F127" s="20" t="s">
        <v>59</v>
      </c>
      <c r="G127" s="20" t="s">
        <v>27</v>
      </c>
    </row>
    <row r="128" spans="1:8" x14ac:dyDescent="0.25">
      <c r="A128" s="6"/>
      <c r="C128" s="8" t="s">
        <v>185</v>
      </c>
      <c r="D128" s="14" t="s">
        <v>186</v>
      </c>
      <c r="E128" s="20" t="s">
        <v>59</v>
      </c>
      <c r="F128" s="20" t="s">
        <v>59</v>
      </c>
      <c r="G128" s="20" t="s">
        <v>27</v>
      </c>
      <c r="H128" s="7"/>
    </row>
    <row r="129" spans="1:8" x14ac:dyDescent="0.25">
      <c r="A129" s="6"/>
      <c r="C129" s="8" t="s">
        <v>187</v>
      </c>
      <c r="E129" s="20" t="s">
        <v>59</v>
      </c>
      <c r="F129" s="20" t="s">
        <v>59</v>
      </c>
      <c r="G129" s="20" t="s">
        <v>27</v>
      </c>
    </row>
    <row r="130" spans="1:8" x14ac:dyDescent="0.25">
      <c r="A130" s="6"/>
      <c r="C130" s="8" t="s">
        <v>188</v>
      </c>
      <c r="E130" s="20" t="s">
        <v>59</v>
      </c>
      <c r="F130" s="20" t="s">
        <v>59</v>
      </c>
      <c r="G130" s="20" t="s">
        <v>27</v>
      </c>
      <c r="H130" s="7"/>
    </row>
    <row r="131" spans="1:8" ht="45" x14ac:dyDescent="0.25">
      <c r="A131" s="6"/>
      <c r="C131" s="8" t="s">
        <v>189</v>
      </c>
      <c r="D131" s="14" t="s">
        <v>190</v>
      </c>
      <c r="E131" s="20" t="s">
        <v>59</v>
      </c>
      <c r="F131" s="20" t="s">
        <v>59</v>
      </c>
      <c r="G131" s="20" t="s">
        <v>27</v>
      </c>
      <c r="H131" s="7"/>
    </row>
    <row r="132" spans="1:8" x14ac:dyDescent="0.25">
      <c r="A132" s="6"/>
      <c r="C132" s="8" t="s">
        <v>191</v>
      </c>
      <c r="E132" s="20" t="s">
        <v>59</v>
      </c>
      <c r="F132" s="20" t="s">
        <v>59</v>
      </c>
      <c r="G132" s="20" t="s">
        <v>27</v>
      </c>
      <c r="H132" s="7"/>
    </row>
    <row r="133" spans="1:8" ht="60" x14ac:dyDescent="0.25">
      <c r="A133" s="6"/>
      <c r="C133" s="8" t="s">
        <v>162</v>
      </c>
      <c r="D133" s="14" t="s">
        <v>192</v>
      </c>
      <c r="E133" s="20" t="s">
        <v>59</v>
      </c>
      <c r="F133" s="20" t="s">
        <v>59</v>
      </c>
      <c r="G133" s="20" t="s">
        <v>27</v>
      </c>
      <c r="H133" s="7"/>
    </row>
    <row r="134" spans="1:8" x14ac:dyDescent="0.25">
      <c r="C134" s="8" t="s">
        <v>193</v>
      </c>
      <c r="E134" s="20" t="s">
        <v>59</v>
      </c>
      <c r="F134" s="20" t="s">
        <v>59</v>
      </c>
      <c r="G134" s="20" t="s">
        <v>27</v>
      </c>
      <c r="H134" s="7"/>
    </row>
    <row r="135" spans="1:8" x14ac:dyDescent="0.25">
      <c r="C135" s="8" t="s">
        <v>194</v>
      </c>
      <c r="D135" s="14" t="s">
        <v>195</v>
      </c>
      <c r="E135" s="20" t="s">
        <v>59</v>
      </c>
      <c r="F135" s="20" t="s">
        <v>59</v>
      </c>
      <c r="G135" s="20" t="s">
        <v>27</v>
      </c>
      <c r="H135"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276"/>
  <sheetViews>
    <sheetView zoomScale="85" zoomScaleNormal="85" workbookViewId="0">
      <selection activeCell="A3" sqref="A3"/>
    </sheetView>
  </sheetViews>
  <sheetFormatPr baseColWidth="10" defaultColWidth="9.140625" defaultRowHeight="15" x14ac:dyDescent="0.25"/>
  <cols>
    <col min="1" max="1" width="26.7109375" style="1" bestFit="1" customWidth="1"/>
    <col min="3" max="3" width="26.7109375" style="1" bestFit="1" customWidth="1"/>
    <col min="4" max="4" width="28.140625" style="1" bestFit="1" customWidth="1"/>
    <col min="6" max="6" width="28.85546875" style="1" customWidth="1"/>
    <col min="7" max="7" width="29.7109375" style="1" bestFit="1" customWidth="1"/>
    <col min="8" max="8" width="33" style="1" bestFit="1" customWidth="1"/>
    <col min="10" max="10" width="18.7109375" bestFit="1" customWidth="1"/>
    <col min="12" max="12" width="18.7109375" bestFit="1" customWidth="1"/>
    <col min="13" max="13" width="59.7109375" bestFit="1" customWidth="1"/>
    <col min="15" max="15" width="59.7109375" style="24" bestFit="1" customWidth="1"/>
    <col min="16" max="16" width="47.28515625" style="26" bestFit="1" customWidth="1"/>
    <col min="18" max="18" width="18.7109375" bestFit="1" customWidth="1"/>
    <col min="19" max="19" width="29" bestFit="1" customWidth="1"/>
    <col min="21" max="21" width="13" bestFit="1" customWidth="1"/>
  </cols>
  <sheetData>
    <row r="1" spans="1:22" x14ac:dyDescent="0.25">
      <c r="A1" s="25" t="s">
        <v>19</v>
      </c>
      <c r="B1" s="24"/>
      <c r="C1" s="25" t="s">
        <v>19</v>
      </c>
      <c r="D1" s="25" t="s">
        <v>9</v>
      </c>
      <c r="E1" s="24"/>
      <c r="F1" s="25" t="s">
        <v>19</v>
      </c>
      <c r="G1" s="25" t="s">
        <v>9</v>
      </c>
      <c r="H1" s="25" t="s">
        <v>10</v>
      </c>
      <c r="I1" s="24"/>
      <c r="J1" s="25" t="s">
        <v>2</v>
      </c>
      <c r="K1" s="24"/>
      <c r="L1" s="25" t="s">
        <v>2</v>
      </c>
      <c r="M1" s="25" t="s">
        <v>196</v>
      </c>
      <c r="N1" s="24"/>
      <c r="O1" s="25" t="s">
        <v>196</v>
      </c>
      <c r="P1" s="25" t="s">
        <v>11</v>
      </c>
      <c r="Q1" s="24"/>
      <c r="R1" s="25" t="s">
        <v>197</v>
      </c>
      <c r="S1" s="25" t="s">
        <v>12</v>
      </c>
      <c r="T1" s="24"/>
      <c r="U1" s="25" t="s">
        <v>198</v>
      </c>
      <c r="V1" s="25" t="s">
        <v>4</v>
      </c>
    </row>
    <row r="2" spans="1:22" x14ac:dyDescent="0.25">
      <c r="A2" s="1" t="s">
        <v>199</v>
      </c>
      <c r="B2" s="24"/>
      <c r="C2" s="1" t="s">
        <v>200</v>
      </c>
      <c r="D2" s="1" t="s">
        <v>201</v>
      </c>
      <c r="E2" s="24"/>
      <c r="F2" s="1" t="s">
        <v>200</v>
      </c>
      <c r="G2" s="1" t="s">
        <v>201</v>
      </c>
      <c r="H2" s="1" t="s">
        <v>202</v>
      </c>
      <c r="I2" s="24"/>
      <c r="J2" s="24" t="s">
        <v>203</v>
      </c>
      <c r="K2" s="24"/>
      <c r="L2" s="24" t="s">
        <v>203</v>
      </c>
      <c r="M2" s="24" t="s">
        <v>204</v>
      </c>
      <c r="N2" s="24"/>
      <c r="O2" s="24" t="s">
        <v>204</v>
      </c>
      <c r="P2" s="49" t="s">
        <v>205</v>
      </c>
      <c r="Q2" s="24"/>
      <c r="R2" s="24" t="s">
        <v>203</v>
      </c>
      <c r="S2" s="24" t="s">
        <v>206</v>
      </c>
      <c r="T2" s="24"/>
      <c r="U2" s="24" t="s">
        <v>207</v>
      </c>
      <c r="V2" s="24" t="s">
        <v>208</v>
      </c>
    </row>
    <row r="3" spans="1:22" x14ac:dyDescent="0.25">
      <c r="A3" s="1" t="s">
        <v>209</v>
      </c>
      <c r="B3" s="24"/>
      <c r="C3" s="1" t="s">
        <v>200</v>
      </c>
      <c r="D3" s="1" t="s">
        <v>25</v>
      </c>
      <c r="E3" s="24"/>
      <c r="F3" s="8" t="s">
        <v>200</v>
      </c>
      <c r="G3" s="8" t="s">
        <v>201</v>
      </c>
      <c r="H3" s="8" t="s">
        <v>210</v>
      </c>
      <c r="I3" s="24"/>
      <c r="J3" s="24" t="s">
        <v>211</v>
      </c>
      <c r="K3" s="24"/>
      <c r="L3" s="24" t="s">
        <v>203</v>
      </c>
      <c r="M3" s="24" t="s">
        <v>212</v>
      </c>
      <c r="N3" s="24"/>
      <c r="O3" s="24" t="s">
        <v>212</v>
      </c>
      <c r="P3" s="49" t="s">
        <v>205</v>
      </c>
      <c r="Q3" s="24"/>
      <c r="R3" s="24" t="s">
        <v>211</v>
      </c>
      <c r="S3" s="24" t="s">
        <v>206</v>
      </c>
      <c r="T3" s="24"/>
      <c r="U3" s="24" t="s">
        <v>213</v>
      </c>
      <c r="V3" s="24" t="s">
        <v>208</v>
      </c>
    </row>
    <row r="4" spans="1:22" x14ac:dyDescent="0.25">
      <c r="A4" s="1" t="s">
        <v>214</v>
      </c>
      <c r="B4" s="24"/>
      <c r="C4" s="1" t="s">
        <v>200</v>
      </c>
      <c r="D4" s="1" t="s">
        <v>30</v>
      </c>
      <c r="E4" s="24"/>
      <c r="F4" s="8" t="s">
        <v>200</v>
      </c>
      <c r="G4" s="8" t="s">
        <v>201</v>
      </c>
      <c r="H4" s="8" t="s">
        <v>215</v>
      </c>
      <c r="I4" s="24"/>
      <c r="J4" s="24" t="s">
        <v>216</v>
      </c>
      <c r="K4" s="24"/>
      <c r="L4" s="24" t="s">
        <v>203</v>
      </c>
      <c r="M4" s="24" t="s">
        <v>217</v>
      </c>
      <c r="N4" s="24"/>
      <c r="O4" s="24" t="s">
        <v>217</v>
      </c>
      <c r="P4" s="49" t="s">
        <v>205</v>
      </c>
      <c r="Q4" s="24"/>
      <c r="R4" s="24" t="s">
        <v>216</v>
      </c>
      <c r="S4" s="24" t="s">
        <v>218</v>
      </c>
      <c r="T4" s="24"/>
      <c r="U4" s="24" t="s">
        <v>219</v>
      </c>
      <c r="V4" s="24" t="s">
        <v>220</v>
      </c>
    </row>
    <row r="5" spans="1:22" x14ac:dyDescent="0.25">
      <c r="A5" s="1" t="s">
        <v>221</v>
      </c>
      <c r="B5" s="24"/>
      <c r="C5" s="1" t="s">
        <v>200</v>
      </c>
      <c r="D5" s="1" t="s">
        <v>39</v>
      </c>
      <c r="E5" s="24"/>
      <c r="F5" s="1" t="s">
        <v>200</v>
      </c>
      <c r="G5" s="1" t="s">
        <v>201</v>
      </c>
      <c r="H5" s="1" t="s">
        <v>176</v>
      </c>
      <c r="I5" s="24"/>
      <c r="J5" s="24" t="s">
        <v>222</v>
      </c>
      <c r="K5" s="24"/>
      <c r="L5" s="24" t="s">
        <v>203</v>
      </c>
      <c r="M5" s="24" t="s">
        <v>223</v>
      </c>
      <c r="N5" s="24"/>
      <c r="O5" s="24" t="s">
        <v>224</v>
      </c>
      <c r="P5" s="50" t="s">
        <v>225</v>
      </c>
      <c r="Q5" s="24"/>
      <c r="R5" s="24" t="s">
        <v>222</v>
      </c>
      <c r="S5" s="24" t="s">
        <v>226</v>
      </c>
      <c r="T5" s="24"/>
      <c r="U5" s="24" t="s">
        <v>227</v>
      </c>
      <c r="V5" s="24" t="s">
        <v>208</v>
      </c>
    </row>
    <row r="6" spans="1:22" x14ac:dyDescent="0.25">
      <c r="A6" s="1" t="s">
        <v>228</v>
      </c>
      <c r="B6" s="24"/>
      <c r="C6" s="1" t="s">
        <v>200</v>
      </c>
      <c r="D6" s="1" t="s">
        <v>46</v>
      </c>
      <c r="E6" s="24"/>
      <c r="F6" s="1" t="s">
        <v>200</v>
      </c>
      <c r="G6" s="1" t="s">
        <v>201</v>
      </c>
      <c r="H6" s="1" t="s">
        <v>229</v>
      </c>
      <c r="I6" s="24"/>
      <c r="J6" s="24" t="s">
        <v>230</v>
      </c>
      <c r="K6" s="24"/>
      <c r="L6" s="24" t="s">
        <v>203</v>
      </c>
      <c r="M6" s="24" t="s">
        <v>231</v>
      </c>
      <c r="N6" s="24"/>
      <c r="O6" s="24" t="s">
        <v>223</v>
      </c>
      <c r="P6" s="49" t="s">
        <v>205</v>
      </c>
      <c r="Q6" s="24"/>
      <c r="R6" s="24" t="s">
        <v>230</v>
      </c>
      <c r="S6" s="24" t="s">
        <v>232</v>
      </c>
      <c r="T6" s="24"/>
      <c r="U6" s="24" t="s">
        <v>233</v>
      </c>
      <c r="V6" s="24" t="s">
        <v>234</v>
      </c>
    </row>
    <row r="7" spans="1:22" x14ac:dyDescent="0.25">
      <c r="A7" s="1" t="s">
        <v>200</v>
      </c>
      <c r="B7" s="24"/>
      <c r="C7" s="1" t="s">
        <v>200</v>
      </c>
      <c r="D7" s="1" t="s">
        <v>42</v>
      </c>
      <c r="E7" s="24"/>
      <c r="F7" s="1" t="s">
        <v>200</v>
      </c>
      <c r="G7" s="1" t="s">
        <v>201</v>
      </c>
      <c r="H7" s="1" t="s">
        <v>179</v>
      </c>
      <c r="I7" s="24"/>
      <c r="J7" s="24" t="s">
        <v>235</v>
      </c>
      <c r="K7" s="24"/>
      <c r="L7" s="24" t="s">
        <v>203</v>
      </c>
      <c r="M7" s="24" t="s">
        <v>236</v>
      </c>
      <c r="N7" s="24"/>
      <c r="O7" s="16" t="s">
        <v>237</v>
      </c>
      <c r="P7" s="16" t="s">
        <v>238</v>
      </c>
      <c r="Q7" s="24"/>
      <c r="R7" s="24" t="s">
        <v>235</v>
      </c>
      <c r="S7" s="24" t="s">
        <v>239</v>
      </c>
      <c r="T7" s="24"/>
      <c r="U7" s="24" t="s">
        <v>240</v>
      </c>
      <c r="V7" s="24" t="s">
        <v>241</v>
      </c>
    </row>
    <row r="8" spans="1:22" x14ac:dyDescent="0.25">
      <c r="A8" s="1" t="s">
        <v>129</v>
      </c>
      <c r="B8" s="24"/>
      <c r="C8" s="1" t="s">
        <v>200</v>
      </c>
      <c r="D8" s="1" t="s">
        <v>49</v>
      </c>
      <c r="E8" s="24"/>
      <c r="F8" s="1" t="s">
        <v>200</v>
      </c>
      <c r="G8" s="1" t="s">
        <v>201</v>
      </c>
      <c r="H8" s="1" t="s">
        <v>180</v>
      </c>
      <c r="I8" s="24"/>
      <c r="J8" s="24" t="s">
        <v>242</v>
      </c>
      <c r="K8" s="24"/>
      <c r="L8" s="24" t="s">
        <v>211</v>
      </c>
      <c r="M8" s="24" t="s">
        <v>224</v>
      </c>
      <c r="N8" s="24"/>
      <c r="O8" s="16" t="s">
        <v>243</v>
      </c>
      <c r="P8" s="16" t="s">
        <v>238</v>
      </c>
      <c r="Q8" s="24"/>
      <c r="R8" s="24" t="s">
        <v>242</v>
      </c>
      <c r="S8" s="24" t="s">
        <v>244</v>
      </c>
      <c r="T8" s="24"/>
      <c r="U8" s="24" t="s">
        <v>245</v>
      </c>
      <c r="V8" s="24" t="s">
        <v>208</v>
      </c>
    </row>
    <row r="9" spans="1:22" x14ac:dyDescent="0.25">
      <c r="A9" s="1" t="s">
        <v>246</v>
      </c>
      <c r="B9" s="24"/>
      <c r="C9" s="1" t="s">
        <v>200</v>
      </c>
      <c r="D9" s="1" t="s">
        <v>51</v>
      </c>
      <c r="E9" s="24"/>
      <c r="F9" s="1" t="s">
        <v>200</v>
      </c>
      <c r="G9" s="1" t="s">
        <v>201</v>
      </c>
      <c r="H9" s="1" t="s">
        <v>182</v>
      </c>
      <c r="I9" s="24"/>
      <c r="J9" s="24" t="s">
        <v>247</v>
      </c>
      <c r="K9" s="24"/>
      <c r="L9" s="24" t="s">
        <v>211</v>
      </c>
      <c r="M9" s="24" t="s">
        <v>248</v>
      </c>
      <c r="N9" s="24"/>
      <c r="O9" s="16" t="s">
        <v>249</v>
      </c>
      <c r="P9" s="16" t="s">
        <v>238</v>
      </c>
      <c r="Q9" s="24"/>
      <c r="R9" s="24" t="s">
        <v>247</v>
      </c>
      <c r="S9" s="24" t="s">
        <v>206</v>
      </c>
      <c r="T9" s="24"/>
      <c r="U9" s="24" t="s">
        <v>250</v>
      </c>
      <c r="V9" s="24" t="s">
        <v>234</v>
      </c>
    </row>
    <row r="10" spans="1:22" x14ac:dyDescent="0.25">
      <c r="A10" s="6"/>
      <c r="B10" s="24"/>
      <c r="C10" s="1" t="s">
        <v>200</v>
      </c>
      <c r="D10" s="1" t="s">
        <v>53</v>
      </c>
      <c r="E10" s="24"/>
      <c r="F10" s="1" t="s">
        <v>200</v>
      </c>
      <c r="G10" s="1" t="s">
        <v>201</v>
      </c>
      <c r="H10" s="1" t="s">
        <v>184</v>
      </c>
      <c r="I10" s="24"/>
      <c r="J10" s="24" t="s">
        <v>251</v>
      </c>
      <c r="K10" s="24"/>
      <c r="L10" s="24" t="s">
        <v>211</v>
      </c>
      <c r="M10" s="24" t="s">
        <v>252</v>
      </c>
      <c r="N10" s="24"/>
      <c r="O10" s="16" t="s">
        <v>253</v>
      </c>
      <c r="P10" s="16" t="s">
        <v>238</v>
      </c>
      <c r="Q10" s="24"/>
      <c r="R10" s="24" t="s">
        <v>251</v>
      </c>
      <c r="S10" s="24" t="s">
        <v>254</v>
      </c>
      <c r="T10" s="24"/>
      <c r="U10" s="24" t="s">
        <v>255</v>
      </c>
      <c r="V10" s="24" t="s">
        <v>234</v>
      </c>
    </row>
    <row r="11" spans="1:22" x14ac:dyDescent="0.25">
      <c r="A11" s="6"/>
      <c r="B11" s="24"/>
      <c r="C11" s="1" t="s">
        <v>200</v>
      </c>
      <c r="D11" s="1" t="s">
        <v>55</v>
      </c>
      <c r="E11" s="24"/>
      <c r="F11" s="1" t="s">
        <v>200</v>
      </c>
      <c r="G11" s="1" t="s">
        <v>201</v>
      </c>
      <c r="H11" s="1" t="s">
        <v>256</v>
      </c>
      <c r="I11" s="24"/>
      <c r="J11" s="24" t="s">
        <v>257</v>
      </c>
      <c r="K11" s="24"/>
      <c r="L11" s="24" t="s">
        <v>216</v>
      </c>
      <c r="M11" s="16" t="s">
        <v>237</v>
      </c>
      <c r="N11" s="24"/>
      <c r="O11" s="16" t="s">
        <v>258</v>
      </c>
      <c r="P11" s="16" t="s">
        <v>238</v>
      </c>
      <c r="Q11" s="24"/>
      <c r="R11" s="24" t="s">
        <v>257</v>
      </c>
      <c r="S11" s="24" t="s">
        <v>259</v>
      </c>
      <c r="T11" s="24"/>
      <c r="U11" s="24" t="s">
        <v>260</v>
      </c>
      <c r="V11" s="24" t="s">
        <v>261</v>
      </c>
    </row>
    <row r="12" spans="1:22" x14ac:dyDescent="0.25">
      <c r="A12" s="9"/>
      <c r="B12" s="24"/>
      <c r="C12" s="1" t="s">
        <v>200</v>
      </c>
      <c r="D12" s="1" t="s">
        <v>57</v>
      </c>
      <c r="E12" s="24"/>
      <c r="F12" s="1" t="s">
        <v>200</v>
      </c>
      <c r="G12" s="1" t="s">
        <v>201</v>
      </c>
      <c r="H12" s="1" t="s">
        <v>187</v>
      </c>
      <c r="I12" s="24"/>
      <c r="J12" s="24" t="s">
        <v>262</v>
      </c>
      <c r="K12" s="24"/>
      <c r="L12" s="24" t="s">
        <v>216</v>
      </c>
      <c r="M12" s="16" t="s">
        <v>263</v>
      </c>
      <c r="N12" s="24"/>
      <c r="O12" s="16" t="s">
        <v>263</v>
      </c>
      <c r="P12" s="16" t="s">
        <v>264</v>
      </c>
      <c r="Q12" s="24"/>
      <c r="R12" s="24" t="s">
        <v>262</v>
      </c>
      <c r="S12" s="24" t="s">
        <v>265</v>
      </c>
      <c r="T12" s="24"/>
      <c r="U12" s="24" t="s">
        <v>266</v>
      </c>
      <c r="V12" s="24" t="s">
        <v>208</v>
      </c>
    </row>
    <row r="13" spans="1:22" x14ac:dyDescent="0.25">
      <c r="A13" s="9"/>
      <c r="B13" s="24"/>
      <c r="C13" s="1" t="s">
        <v>221</v>
      </c>
      <c r="D13" s="1" t="s">
        <v>201</v>
      </c>
      <c r="E13" s="24"/>
      <c r="F13" s="1" t="s">
        <v>200</v>
      </c>
      <c r="G13" s="1" t="s">
        <v>201</v>
      </c>
      <c r="H13" s="1" t="s">
        <v>267</v>
      </c>
      <c r="I13" s="24"/>
      <c r="J13" s="24" t="s">
        <v>268</v>
      </c>
      <c r="K13" s="24"/>
      <c r="L13" s="24" t="s">
        <v>216</v>
      </c>
      <c r="M13" s="16" t="s">
        <v>269</v>
      </c>
      <c r="N13" s="24"/>
      <c r="O13" s="16" t="s">
        <v>270</v>
      </c>
      <c r="P13" s="16" t="s">
        <v>264</v>
      </c>
      <c r="Q13" s="24"/>
      <c r="R13" s="24" t="s">
        <v>268</v>
      </c>
      <c r="S13" s="24" t="s">
        <v>271</v>
      </c>
      <c r="T13" s="24"/>
      <c r="U13" s="24" t="s">
        <v>272</v>
      </c>
      <c r="V13" s="24" t="s">
        <v>208</v>
      </c>
    </row>
    <row r="14" spans="1:22" x14ac:dyDescent="0.25">
      <c r="A14" s="9"/>
      <c r="B14" s="24"/>
      <c r="C14" s="1" t="s">
        <v>221</v>
      </c>
      <c r="D14" s="1" t="s">
        <v>273</v>
      </c>
      <c r="E14" s="24"/>
      <c r="F14" s="1" t="s">
        <v>200</v>
      </c>
      <c r="G14" s="1" t="s">
        <v>201</v>
      </c>
      <c r="H14" s="1" t="s">
        <v>188</v>
      </c>
      <c r="I14" s="24"/>
      <c r="J14" s="24" t="s">
        <v>274</v>
      </c>
      <c r="K14" s="24"/>
      <c r="L14" s="24" t="s">
        <v>222</v>
      </c>
      <c r="M14" s="16" t="s">
        <v>243</v>
      </c>
      <c r="N14" s="24"/>
      <c r="O14" s="16" t="s">
        <v>275</v>
      </c>
      <c r="P14" s="16" t="s">
        <v>264</v>
      </c>
      <c r="Q14" s="24"/>
      <c r="R14" s="24" t="s">
        <v>274</v>
      </c>
      <c r="S14" s="24" t="s">
        <v>276</v>
      </c>
      <c r="T14" s="24"/>
      <c r="U14" s="24" t="s">
        <v>277</v>
      </c>
      <c r="V14" s="24" t="s">
        <v>208</v>
      </c>
    </row>
    <row r="15" spans="1:22" x14ac:dyDescent="0.25">
      <c r="A15" s="9"/>
      <c r="B15" s="24"/>
      <c r="C15" s="1" t="s">
        <v>221</v>
      </c>
      <c r="D15" s="1" t="s">
        <v>25</v>
      </c>
      <c r="E15" s="24"/>
      <c r="F15" s="1" t="s">
        <v>200</v>
      </c>
      <c r="G15" s="1" t="s">
        <v>201</v>
      </c>
      <c r="H15" s="1" t="s">
        <v>278</v>
      </c>
      <c r="I15" s="24"/>
      <c r="J15" s="24" t="s">
        <v>279</v>
      </c>
      <c r="K15" s="24"/>
      <c r="L15" s="24" t="s">
        <v>222</v>
      </c>
      <c r="M15" s="16" t="s">
        <v>270</v>
      </c>
      <c r="N15" s="24"/>
      <c r="O15" s="16" t="s">
        <v>280</v>
      </c>
      <c r="P15" s="16" t="s">
        <v>264</v>
      </c>
      <c r="Q15" s="24"/>
      <c r="R15" s="24" t="s">
        <v>279</v>
      </c>
      <c r="S15" s="24" t="s">
        <v>281</v>
      </c>
      <c r="T15" s="24"/>
      <c r="U15" s="24" t="s">
        <v>282</v>
      </c>
      <c r="V15" s="24" t="s">
        <v>208</v>
      </c>
    </row>
    <row r="16" spans="1:22" x14ac:dyDescent="0.25">
      <c r="A16" s="9"/>
      <c r="B16" s="24"/>
      <c r="C16" s="1" t="s">
        <v>221</v>
      </c>
      <c r="D16" s="1" t="s">
        <v>67</v>
      </c>
      <c r="E16" s="24"/>
      <c r="F16" s="1" t="s">
        <v>200</v>
      </c>
      <c r="G16" s="1" t="s">
        <v>201</v>
      </c>
      <c r="H16" s="1" t="s">
        <v>283</v>
      </c>
      <c r="I16" s="24"/>
      <c r="J16" s="8"/>
      <c r="K16" s="24"/>
      <c r="L16" s="24" t="s">
        <v>230</v>
      </c>
      <c r="M16" s="16" t="s">
        <v>249</v>
      </c>
      <c r="N16" s="24"/>
      <c r="O16" s="24" t="s">
        <v>248</v>
      </c>
      <c r="P16" s="49" t="s">
        <v>284</v>
      </c>
      <c r="Q16" s="24"/>
      <c r="R16" s="24"/>
      <c r="S16" s="24"/>
      <c r="T16" s="24"/>
      <c r="U16" s="24" t="s">
        <v>285</v>
      </c>
      <c r="V16" s="24" t="s">
        <v>208</v>
      </c>
    </row>
    <row r="17" spans="1:22" x14ac:dyDescent="0.25">
      <c r="A17" s="9"/>
      <c r="B17" s="24"/>
      <c r="C17" s="1" t="s">
        <v>221</v>
      </c>
      <c r="D17" s="1" t="s">
        <v>30</v>
      </c>
      <c r="E17" s="24"/>
      <c r="F17" s="1" t="s">
        <v>200</v>
      </c>
      <c r="G17" s="1" t="s">
        <v>201</v>
      </c>
      <c r="H17" s="1" t="s">
        <v>162</v>
      </c>
      <c r="I17" s="24"/>
      <c r="J17" s="24"/>
      <c r="K17" s="24"/>
      <c r="L17" s="24" t="s">
        <v>230</v>
      </c>
      <c r="M17" s="16" t="s">
        <v>275</v>
      </c>
      <c r="N17" s="24"/>
      <c r="O17" s="16" t="s">
        <v>286</v>
      </c>
      <c r="P17" s="16" t="s">
        <v>287</v>
      </c>
      <c r="Q17" s="24"/>
      <c r="R17" s="24"/>
      <c r="S17" s="24"/>
      <c r="T17" s="24"/>
      <c r="U17" s="24" t="s">
        <v>288</v>
      </c>
      <c r="V17" s="24" t="s">
        <v>208</v>
      </c>
    </row>
    <row r="18" spans="1:22" x14ac:dyDescent="0.25">
      <c r="A18" s="9"/>
      <c r="B18" s="24"/>
      <c r="C18" s="1" t="s">
        <v>221</v>
      </c>
      <c r="D18" s="1" t="s">
        <v>70</v>
      </c>
      <c r="E18" s="24"/>
      <c r="F18" s="1" t="s">
        <v>200</v>
      </c>
      <c r="G18" s="1" t="s">
        <v>201</v>
      </c>
      <c r="H18" s="1" t="s">
        <v>193</v>
      </c>
      <c r="I18" s="24"/>
      <c r="J18" s="24"/>
      <c r="K18" s="24"/>
      <c r="L18" s="24" t="s">
        <v>230</v>
      </c>
      <c r="M18" s="16" t="s">
        <v>289</v>
      </c>
      <c r="N18" s="24"/>
      <c r="O18" s="16" t="s">
        <v>290</v>
      </c>
      <c r="P18" s="16" t="s">
        <v>287</v>
      </c>
      <c r="Q18" s="24"/>
      <c r="R18" s="24"/>
      <c r="S18" s="24"/>
      <c r="T18" s="24"/>
      <c r="U18" s="24" t="s">
        <v>291</v>
      </c>
      <c r="V18" s="24" t="s">
        <v>241</v>
      </c>
    </row>
    <row r="19" spans="1:22" x14ac:dyDescent="0.25">
      <c r="A19" s="9"/>
      <c r="B19" s="24"/>
      <c r="C19" s="1" t="s">
        <v>221</v>
      </c>
      <c r="D19" s="1" t="s">
        <v>292</v>
      </c>
      <c r="E19" s="24"/>
      <c r="F19" s="1" t="s">
        <v>200</v>
      </c>
      <c r="G19" s="1" t="s">
        <v>201</v>
      </c>
      <c r="H19" s="1" t="s">
        <v>293</v>
      </c>
      <c r="I19" s="24"/>
      <c r="J19" s="24"/>
      <c r="K19" s="24"/>
      <c r="L19" s="24" t="s">
        <v>235</v>
      </c>
      <c r="M19" s="16" t="s">
        <v>294</v>
      </c>
      <c r="N19" s="24"/>
      <c r="O19" s="16" t="s">
        <v>295</v>
      </c>
      <c r="P19" s="16" t="s">
        <v>287</v>
      </c>
      <c r="Q19" s="24"/>
      <c r="R19" s="24"/>
      <c r="S19" s="24"/>
      <c r="T19" s="24"/>
      <c r="U19" s="24" t="s">
        <v>296</v>
      </c>
      <c r="V19" s="24" t="s">
        <v>234</v>
      </c>
    </row>
    <row r="20" spans="1:22" x14ac:dyDescent="0.25">
      <c r="A20" s="9"/>
      <c r="B20" s="24"/>
      <c r="C20" s="1" t="s">
        <v>221</v>
      </c>
      <c r="D20" s="1" t="s">
        <v>39</v>
      </c>
      <c r="E20" s="24"/>
      <c r="F20" s="1" t="s">
        <v>200</v>
      </c>
      <c r="G20" s="1" t="s">
        <v>25</v>
      </c>
      <c r="H20" s="1" t="s">
        <v>25</v>
      </c>
      <c r="I20" s="24"/>
      <c r="J20" s="24"/>
      <c r="K20" s="24"/>
      <c r="L20" s="24" t="s">
        <v>242</v>
      </c>
      <c r="M20" s="16" t="s">
        <v>286</v>
      </c>
      <c r="N20" s="24"/>
      <c r="O20" s="16" t="s">
        <v>269</v>
      </c>
      <c r="P20" s="16" t="s">
        <v>297</v>
      </c>
      <c r="Q20" s="24"/>
      <c r="R20" s="24"/>
      <c r="S20" s="24"/>
      <c r="T20" s="24"/>
      <c r="U20" s="24" t="s">
        <v>298</v>
      </c>
      <c r="V20" s="24" t="s">
        <v>208</v>
      </c>
    </row>
    <row r="21" spans="1:22" x14ac:dyDescent="0.25">
      <c r="A21" s="9"/>
      <c r="B21" s="24"/>
      <c r="C21" s="1" t="s">
        <v>221</v>
      </c>
      <c r="D21" s="1" t="s">
        <v>77</v>
      </c>
      <c r="E21" s="24"/>
      <c r="F21" s="1" t="s">
        <v>200</v>
      </c>
      <c r="G21" s="1" t="s">
        <v>30</v>
      </c>
      <c r="H21" s="1" t="s">
        <v>31</v>
      </c>
      <c r="I21" s="24"/>
      <c r="J21" s="24"/>
      <c r="K21" s="24"/>
      <c r="L21" s="24" t="s">
        <v>247</v>
      </c>
      <c r="M21" s="16" t="s">
        <v>299</v>
      </c>
      <c r="N21" s="24"/>
      <c r="O21" s="16" t="s">
        <v>300</v>
      </c>
      <c r="P21" s="16" t="s">
        <v>301</v>
      </c>
      <c r="Q21" s="24"/>
      <c r="R21" s="24"/>
      <c r="S21" s="24"/>
      <c r="T21" s="24"/>
      <c r="U21" s="24" t="s">
        <v>302</v>
      </c>
      <c r="V21" s="24" t="s">
        <v>234</v>
      </c>
    </row>
    <row r="22" spans="1:22" x14ac:dyDescent="0.25">
      <c r="A22" s="9"/>
      <c r="B22" s="24"/>
      <c r="C22" s="1" t="s">
        <v>221</v>
      </c>
      <c r="D22" s="1" t="s">
        <v>303</v>
      </c>
      <c r="E22" s="24"/>
      <c r="F22" s="1" t="s">
        <v>200</v>
      </c>
      <c r="G22" s="1" t="s">
        <v>30</v>
      </c>
      <c r="H22" s="1" t="s">
        <v>33</v>
      </c>
      <c r="I22" s="24"/>
      <c r="J22" s="24"/>
      <c r="K22" s="24"/>
      <c r="L22" s="24" t="s">
        <v>247</v>
      </c>
      <c r="M22" s="16" t="s">
        <v>304</v>
      </c>
      <c r="N22" s="24"/>
      <c r="O22" s="16" t="s">
        <v>305</v>
      </c>
      <c r="P22" s="16" t="s">
        <v>306</v>
      </c>
      <c r="Q22" s="24"/>
      <c r="R22" s="24"/>
      <c r="S22" s="24"/>
      <c r="T22" s="24"/>
      <c r="U22" s="24" t="s">
        <v>307</v>
      </c>
      <c r="V22" s="24" t="s">
        <v>234</v>
      </c>
    </row>
    <row r="23" spans="1:22" x14ac:dyDescent="0.25">
      <c r="A23" s="9"/>
      <c r="B23" s="24"/>
      <c r="C23" s="1" t="s">
        <v>221</v>
      </c>
      <c r="D23" s="1" t="s">
        <v>42</v>
      </c>
      <c r="E23" s="24"/>
      <c r="F23" s="1" t="s">
        <v>200</v>
      </c>
      <c r="G23" s="1" t="s">
        <v>30</v>
      </c>
      <c r="H23" s="1" t="s">
        <v>35</v>
      </c>
      <c r="I23" s="24"/>
      <c r="J23" s="24"/>
      <c r="K23" s="24"/>
      <c r="L23" s="24" t="s">
        <v>251</v>
      </c>
      <c r="M23" s="16" t="s">
        <v>308</v>
      </c>
      <c r="N23" s="24"/>
      <c r="O23" s="16" t="s">
        <v>289</v>
      </c>
      <c r="P23" s="16" t="s">
        <v>309</v>
      </c>
      <c r="Q23" s="24"/>
      <c r="R23" s="24"/>
      <c r="S23" s="24"/>
      <c r="T23" s="24"/>
      <c r="U23" s="24" t="s">
        <v>310</v>
      </c>
      <c r="V23" s="24" t="s">
        <v>311</v>
      </c>
    </row>
    <row r="24" spans="1:22" x14ac:dyDescent="0.25">
      <c r="A24" s="9"/>
      <c r="B24" s="24"/>
      <c r="C24" s="1" t="s">
        <v>221</v>
      </c>
      <c r="D24" s="1" t="s">
        <v>51</v>
      </c>
      <c r="E24" s="24"/>
      <c r="F24" s="1" t="s">
        <v>200</v>
      </c>
      <c r="G24" s="1" t="s">
        <v>30</v>
      </c>
      <c r="H24" s="1" t="s">
        <v>312</v>
      </c>
      <c r="I24" s="24"/>
      <c r="J24" s="24"/>
      <c r="K24" s="24"/>
      <c r="L24" s="24" t="s">
        <v>251</v>
      </c>
      <c r="M24" s="16" t="s">
        <v>313</v>
      </c>
      <c r="N24" s="24"/>
      <c r="O24" s="16" t="s">
        <v>314</v>
      </c>
      <c r="P24" s="16" t="s">
        <v>309</v>
      </c>
      <c r="Q24" s="24"/>
      <c r="R24" s="24"/>
      <c r="S24" s="24"/>
      <c r="T24" s="24"/>
      <c r="U24" s="24" t="s">
        <v>315</v>
      </c>
      <c r="V24" s="24" t="s">
        <v>208</v>
      </c>
    </row>
    <row r="25" spans="1:22" x14ac:dyDescent="0.25">
      <c r="A25" s="9"/>
      <c r="B25" s="24"/>
      <c r="C25" s="1" t="s">
        <v>221</v>
      </c>
      <c r="D25" s="1" t="s">
        <v>95</v>
      </c>
      <c r="E25" s="24"/>
      <c r="F25" s="1" t="s">
        <v>200</v>
      </c>
      <c r="G25" s="1" t="s">
        <v>39</v>
      </c>
      <c r="H25" s="1" t="s">
        <v>40</v>
      </c>
      <c r="I25" s="24"/>
      <c r="J25" s="24"/>
      <c r="K25" s="24"/>
      <c r="L25" s="24" t="s">
        <v>251</v>
      </c>
      <c r="M25" s="16" t="s">
        <v>316</v>
      </c>
      <c r="N25" s="24"/>
      <c r="O25" s="16" t="s">
        <v>317</v>
      </c>
      <c r="P25" s="16" t="s">
        <v>318</v>
      </c>
      <c r="Q25" s="24"/>
      <c r="R25" s="24"/>
      <c r="S25" s="24"/>
      <c r="T25" s="24"/>
      <c r="U25" s="24" t="s">
        <v>319</v>
      </c>
      <c r="V25" s="24" t="s">
        <v>208</v>
      </c>
    </row>
    <row r="26" spans="1:22" x14ac:dyDescent="0.25">
      <c r="A26" s="9"/>
      <c r="B26" s="24"/>
      <c r="C26" s="1" t="s">
        <v>221</v>
      </c>
      <c r="D26" s="1" t="s">
        <v>53</v>
      </c>
      <c r="E26" s="24"/>
      <c r="F26" s="1" t="s">
        <v>200</v>
      </c>
      <c r="G26" s="1" t="s">
        <v>39</v>
      </c>
      <c r="H26" s="1" t="s">
        <v>42</v>
      </c>
      <c r="I26" s="24"/>
      <c r="J26" s="24"/>
      <c r="K26" s="24"/>
      <c r="L26" s="24" t="s">
        <v>257</v>
      </c>
      <c r="M26" s="16" t="s">
        <v>320</v>
      </c>
      <c r="N26" s="24"/>
      <c r="O26" s="16" t="s">
        <v>321</v>
      </c>
      <c r="P26" s="16" t="s">
        <v>318</v>
      </c>
      <c r="Q26" s="24"/>
      <c r="R26" s="24"/>
      <c r="S26" s="24"/>
      <c r="T26" s="24"/>
      <c r="U26" s="24" t="s">
        <v>322</v>
      </c>
      <c r="V26" s="24" t="s">
        <v>208</v>
      </c>
    </row>
    <row r="27" spans="1:22" x14ac:dyDescent="0.25">
      <c r="A27" s="9"/>
      <c r="B27" s="24"/>
      <c r="C27" s="1" t="s">
        <v>221</v>
      </c>
      <c r="D27" s="1" t="s">
        <v>103</v>
      </c>
      <c r="E27" s="24"/>
      <c r="F27" s="1" t="s">
        <v>200</v>
      </c>
      <c r="G27" s="1" t="s">
        <v>39</v>
      </c>
      <c r="H27" s="1" t="s">
        <v>44</v>
      </c>
      <c r="I27" s="24"/>
      <c r="J27" s="24"/>
      <c r="K27" s="24"/>
      <c r="L27" s="24" t="s">
        <v>257</v>
      </c>
      <c r="M27" s="16" t="s">
        <v>323</v>
      </c>
      <c r="N27" s="24"/>
      <c r="O27" s="24" t="s">
        <v>231</v>
      </c>
      <c r="P27" s="49" t="s">
        <v>205</v>
      </c>
      <c r="Q27" s="24"/>
      <c r="R27" s="24"/>
      <c r="S27" s="24"/>
      <c r="T27" s="24"/>
      <c r="U27" s="24" t="s">
        <v>324</v>
      </c>
      <c r="V27" s="24" t="s">
        <v>234</v>
      </c>
    </row>
    <row r="28" spans="1:22" x14ac:dyDescent="0.25">
      <c r="A28" s="9"/>
      <c r="B28" s="24"/>
      <c r="C28" s="1" t="s">
        <v>221</v>
      </c>
      <c r="D28" s="1" t="s">
        <v>57</v>
      </c>
      <c r="E28" s="24"/>
      <c r="F28" s="1" t="s">
        <v>200</v>
      </c>
      <c r="G28" s="1" t="s">
        <v>46</v>
      </c>
      <c r="H28" s="1" t="s">
        <v>46</v>
      </c>
      <c r="I28" s="24"/>
      <c r="J28" s="24"/>
      <c r="K28" s="24"/>
      <c r="L28" s="24" t="s">
        <v>257</v>
      </c>
      <c r="M28" s="16" t="s">
        <v>325</v>
      </c>
      <c r="N28" s="24"/>
      <c r="O28" s="16" t="s">
        <v>294</v>
      </c>
      <c r="P28" s="16" t="s">
        <v>326</v>
      </c>
      <c r="Q28" s="24"/>
      <c r="R28" s="24"/>
      <c r="S28" s="24"/>
      <c r="T28" s="24"/>
      <c r="U28" s="24" t="s">
        <v>327</v>
      </c>
      <c r="V28" s="24" t="s">
        <v>208</v>
      </c>
    </row>
    <row r="29" spans="1:22" x14ac:dyDescent="0.25">
      <c r="A29" s="9"/>
      <c r="B29" s="24"/>
      <c r="C29" s="1" t="s">
        <v>221</v>
      </c>
      <c r="D29" s="1" t="s">
        <v>105</v>
      </c>
      <c r="E29" s="24"/>
      <c r="F29" s="1" t="s">
        <v>200</v>
      </c>
      <c r="G29" s="1" t="s">
        <v>42</v>
      </c>
      <c r="H29" s="1" t="s">
        <v>42</v>
      </c>
      <c r="I29" s="24"/>
      <c r="J29" s="24"/>
      <c r="K29" s="24"/>
      <c r="L29" s="24" t="s">
        <v>262</v>
      </c>
      <c r="M29" s="16" t="s">
        <v>253</v>
      </c>
      <c r="N29" s="24"/>
      <c r="O29" s="16" t="s">
        <v>308</v>
      </c>
      <c r="P29" s="16" t="s">
        <v>326</v>
      </c>
      <c r="Q29" s="24"/>
      <c r="R29" s="24"/>
      <c r="S29" s="24"/>
      <c r="T29" s="24"/>
      <c r="U29" s="24" t="s">
        <v>328</v>
      </c>
      <c r="V29" s="24" t="s">
        <v>234</v>
      </c>
    </row>
    <row r="30" spans="1:22" x14ac:dyDescent="0.25">
      <c r="A30" s="9"/>
      <c r="B30" s="24"/>
      <c r="C30" s="1" t="s">
        <v>228</v>
      </c>
      <c r="D30" s="1" t="s">
        <v>201</v>
      </c>
      <c r="E30" s="24"/>
      <c r="F30" s="1" t="s">
        <v>200</v>
      </c>
      <c r="G30" s="1" t="s">
        <v>49</v>
      </c>
      <c r="H30" s="1" t="s">
        <v>49</v>
      </c>
      <c r="I30" s="24"/>
      <c r="J30" s="24"/>
      <c r="K30" s="24"/>
      <c r="L30" s="24" t="s">
        <v>262</v>
      </c>
      <c r="M30" s="16" t="s">
        <v>280</v>
      </c>
      <c r="N30" s="24"/>
      <c r="O30" s="16" t="s">
        <v>329</v>
      </c>
      <c r="P30" s="16" t="s">
        <v>326</v>
      </c>
      <c r="Q30" s="24"/>
      <c r="R30" s="24"/>
      <c r="S30" s="24"/>
      <c r="T30" s="24"/>
      <c r="U30" s="24" t="s">
        <v>330</v>
      </c>
      <c r="V30" s="24" t="s">
        <v>208</v>
      </c>
    </row>
    <row r="31" spans="1:22" x14ac:dyDescent="0.25">
      <c r="A31" s="9"/>
      <c r="B31" s="24"/>
      <c r="C31" s="1" t="s">
        <v>228</v>
      </c>
      <c r="D31" s="1" t="s">
        <v>273</v>
      </c>
      <c r="E31" s="24"/>
      <c r="F31" s="1" t="s">
        <v>200</v>
      </c>
      <c r="G31" s="1" t="s">
        <v>51</v>
      </c>
      <c r="H31" s="1" t="s">
        <v>51</v>
      </c>
      <c r="I31" s="24"/>
      <c r="J31" s="24"/>
      <c r="K31" s="24"/>
      <c r="L31" s="24" t="s">
        <v>262</v>
      </c>
      <c r="M31" s="16" t="s">
        <v>290</v>
      </c>
      <c r="N31" s="24"/>
      <c r="O31" s="16" t="s">
        <v>313</v>
      </c>
      <c r="P31" s="16" t="s">
        <v>331</v>
      </c>
      <c r="Q31" s="24"/>
      <c r="R31" s="24"/>
      <c r="S31" s="24"/>
      <c r="T31" s="24"/>
      <c r="U31" s="24" t="s">
        <v>332</v>
      </c>
      <c r="V31" s="24" t="s">
        <v>333</v>
      </c>
    </row>
    <row r="32" spans="1:22" x14ac:dyDescent="0.25">
      <c r="A32" s="9"/>
      <c r="B32" s="24"/>
      <c r="C32" s="1" t="s">
        <v>228</v>
      </c>
      <c r="D32" s="1" t="s">
        <v>25</v>
      </c>
      <c r="E32" s="24"/>
      <c r="F32" s="1" t="s">
        <v>200</v>
      </c>
      <c r="G32" s="1" t="s">
        <v>53</v>
      </c>
      <c r="H32" s="1" t="s">
        <v>53</v>
      </c>
      <c r="I32" s="24"/>
      <c r="J32" s="24"/>
      <c r="K32" s="24"/>
      <c r="L32" s="24" t="s">
        <v>262</v>
      </c>
      <c r="M32" s="16" t="s">
        <v>317</v>
      </c>
      <c r="N32" s="24"/>
      <c r="O32" s="16" t="s">
        <v>320</v>
      </c>
      <c r="P32" s="16" t="s">
        <v>331</v>
      </c>
      <c r="Q32" s="24"/>
      <c r="R32" s="24"/>
      <c r="S32" s="24"/>
      <c r="T32" s="24"/>
      <c r="U32" s="24" t="s">
        <v>334</v>
      </c>
      <c r="V32" s="24" t="s">
        <v>335</v>
      </c>
    </row>
    <row r="33" spans="1:22" x14ac:dyDescent="0.25">
      <c r="A33" s="9"/>
      <c r="B33" s="24"/>
      <c r="C33" s="1" t="s">
        <v>228</v>
      </c>
      <c r="D33" s="1" t="s">
        <v>111</v>
      </c>
      <c r="E33" s="24"/>
      <c r="F33" s="1" t="s">
        <v>200</v>
      </c>
      <c r="G33" s="1" t="s">
        <v>55</v>
      </c>
      <c r="H33" s="1" t="s">
        <v>55</v>
      </c>
      <c r="I33" s="24"/>
      <c r="J33" s="24"/>
      <c r="K33" s="24"/>
      <c r="L33" s="24" t="s">
        <v>268</v>
      </c>
      <c r="M33" s="16" t="s">
        <v>329</v>
      </c>
      <c r="N33" s="24"/>
      <c r="O33" s="16" t="s">
        <v>336</v>
      </c>
      <c r="P33" s="16" t="s">
        <v>331</v>
      </c>
      <c r="Q33" s="24"/>
      <c r="R33" s="24"/>
      <c r="S33" s="24"/>
      <c r="T33" s="24"/>
      <c r="U33" s="24" t="s">
        <v>337</v>
      </c>
      <c r="V33" s="24" t="s">
        <v>261</v>
      </c>
    </row>
    <row r="34" spans="1:22" x14ac:dyDescent="0.25">
      <c r="A34" s="9"/>
      <c r="B34" s="24"/>
      <c r="C34" s="1" t="s">
        <v>228</v>
      </c>
      <c r="D34" s="1" t="s">
        <v>67</v>
      </c>
      <c r="E34" s="24"/>
      <c r="F34" s="40" t="s">
        <v>200</v>
      </c>
      <c r="G34" s="41" t="s">
        <v>57</v>
      </c>
      <c r="H34" s="41" t="s">
        <v>57</v>
      </c>
      <c r="I34" s="24"/>
      <c r="J34" s="24"/>
      <c r="K34" s="24"/>
      <c r="L34" s="24" t="s">
        <v>268</v>
      </c>
      <c r="M34" s="16" t="s">
        <v>336</v>
      </c>
      <c r="N34" s="24"/>
      <c r="O34" s="24" t="s">
        <v>252</v>
      </c>
      <c r="P34" s="49" t="s">
        <v>284</v>
      </c>
      <c r="Q34" s="24"/>
      <c r="R34" s="24"/>
      <c r="S34" s="24"/>
      <c r="T34" s="24"/>
      <c r="U34" s="24" t="s">
        <v>338</v>
      </c>
      <c r="V34" s="24" t="s">
        <v>261</v>
      </c>
    </row>
    <row r="35" spans="1:22" x14ac:dyDescent="0.25">
      <c r="A35" s="9"/>
      <c r="B35" s="24"/>
      <c r="C35" s="1" t="s">
        <v>228</v>
      </c>
      <c r="D35" s="1" t="s">
        <v>30</v>
      </c>
      <c r="E35" s="24"/>
      <c r="F35" s="2" t="s">
        <v>221</v>
      </c>
      <c r="G35" s="1" t="s">
        <v>201</v>
      </c>
      <c r="H35" s="1" t="s">
        <v>202</v>
      </c>
      <c r="I35" s="24"/>
      <c r="J35" s="24"/>
      <c r="K35" s="24"/>
      <c r="L35" s="24" t="s">
        <v>268</v>
      </c>
      <c r="M35" s="16" t="s">
        <v>339</v>
      </c>
      <c r="N35" s="24"/>
      <c r="O35" s="16" t="s">
        <v>299</v>
      </c>
      <c r="P35" s="16" t="s">
        <v>340</v>
      </c>
      <c r="Q35" s="24"/>
      <c r="R35" s="24"/>
      <c r="S35" s="24"/>
      <c r="T35" s="24"/>
      <c r="U35" s="24" t="s">
        <v>341</v>
      </c>
      <c r="V35" s="24" t="s">
        <v>208</v>
      </c>
    </row>
    <row r="36" spans="1:22" x14ac:dyDescent="0.25">
      <c r="A36" s="9"/>
      <c r="B36" s="24"/>
      <c r="C36" s="1" t="s">
        <v>228</v>
      </c>
      <c r="D36" s="1" t="s">
        <v>70</v>
      </c>
      <c r="E36" s="24"/>
      <c r="F36" s="2" t="s">
        <v>221</v>
      </c>
      <c r="G36" s="8" t="s">
        <v>201</v>
      </c>
      <c r="H36" s="8" t="s">
        <v>210</v>
      </c>
      <c r="I36" s="24"/>
      <c r="J36" s="24"/>
      <c r="K36" s="24"/>
      <c r="L36" s="24" t="s">
        <v>268</v>
      </c>
      <c r="M36" s="16" t="s">
        <v>342</v>
      </c>
      <c r="N36" s="24"/>
      <c r="O36" s="16" t="s">
        <v>323</v>
      </c>
      <c r="P36" s="16" t="s">
        <v>340</v>
      </c>
      <c r="Q36" s="24"/>
      <c r="R36" s="24"/>
      <c r="S36" s="24"/>
      <c r="T36" s="24"/>
      <c r="U36" s="24" t="s">
        <v>343</v>
      </c>
      <c r="V36" s="24" t="s">
        <v>234</v>
      </c>
    </row>
    <row r="37" spans="1:22" x14ac:dyDescent="0.25">
      <c r="A37" s="9"/>
      <c r="B37" s="24"/>
      <c r="C37" s="1" t="s">
        <v>228</v>
      </c>
      <c r="D37" s="1" t="s">
        <v>292</v>
      </c>
      <c r="E37" s="24"/>
      <c r="F37" s="2" t="s">
        <v>221</v>
      </c>
      <c r="G37" s="8" t="s">
        <v>201</v>
      </c>
      <c r="H37" s="8" t="s">
        <v>215</v>
      </c>
      <c r="I37" s="24"/>
      <c r="J37" s="24"/>
      <c r="K37" s="24"/>
      <c r="L37" s="24" t="s">
        <v>268</v>
      </c>
      <c r="M37" s="16" t="s">
        <v>344</v>
      </c>
      <c r="N37" s="24"/>
      <c r="O37" s="16" t="s">
        <v>339</v>
      </c>
      <c r="P37" s="16" t="s">
        <v>340</v>
      </c>
      <c r="Q37" s="24"/>
      <c r="R37" s="24"/>
      <c r="S37" s="24"/>
      <c r="T37" s="24"/>
      <c r="U37" s="24" t="s">
        <v>345</v>
      </c>
      <c r="V37" s="24" t="s">
        <v>234</v>
      </c>
    </row>
    <row r="38" spans="1:22" x14ac:dyDescent="0.25">
      <c r="A38" s="9"/>
      <c r="B38" s="24"/>
      <c r="C38" s="1" t="s">
        <v>228</v>
      </c>
      <c r="D38" s="1" t="s">
        <v>77</v>
      </c>
      <c r="E38" s="24"/>
      <c r="F38" s="2" t="s">
        <v>221</v>
      </c>
      <c r="G38" s="1" t="s">
        <v>201</v>
      </c>
      <c r="H38" s="1" t="s">
        <v>176</v>
      </c>
      <c r="I38" s="24"/>
      <c r="J38" s="24"/>
      <c r="K38" s="24"/>
      <c r="L38" s="24" t="s">
        <v>274</v>
      </c>
      <c r="M38" s="16" t="s">
        <v>300</v>
      </c>
      <c r="N38" s="24"/>
      <c r="O38" s="16" t="s">
        <v>342</v>
      </c>
      <c r="P38" s="16" t="s">
        <v>346</v>
      </c>
      <c r="Q38" s="24"/>
      <c r="R38" s="24"/>
      <c r="S38" s="24"/>
      <c r="T38" s="24"/>
      <c r="U38" s="24" t="s">
        <v>347</v>
      </c>
      <c r="V38" s="24" t="s">
        <v>208</v>
      </c>
    </row>
    <row r="39" spans="1:22" x14ac:dyDescent="0.25">
      <c r="A39" s="9"/>
      <c r="B39" s="24"/>
      <c r="C39" s="1" t="s">
        <v>228</v>
      </c>
      <c r="D39" s="1" t="s">
        <v>42</v>
      </c>
      <c r="E39" s="24"/>
      <c r="F39" s="2" t="s">
        <v>221</v>
      </c>
      <c r="G39" s="1" t="s">
        <v>201</v>
      </c>
      <c r="H39" s="1" t="s">
        <v>229</v>
      </c>
      <c r="I39" s="24"/>
      <c r="J39" s="24"/>
      <c r="K39" s="24"/>
      <c r="L39" s="24" t="s">
        <v>274</v>
      </c>
      <c r="M39" s="16" t="s">
        <v>305</v>
      </c>
      <c r="N39" s="24"/>
      <c r="O39" s="16" t="s">
        <v>304</v>
      </c>
      <c r="P39" s="16" t="s">
        <v>348</v>
      </c>
      <c r="Q39" s="24"/>
      <c r="R39" s="24"/>
      <c r="S39" s="24"/>
      <c r="T39" s="24"/>
      <c r="U39" s="24" t="s">
        <v>349</v>
      </c>
      <c r="V39" s="24" t="s">
        <v>234</v>
      </c>
    </row>
    <row r="40" spans="1:22" x14ac:dyDescent="0.25">
      <c r="A40" s="9"/>
      <c r="B40" s="24"/>
      <c r="C40" s="1" t="s">
        <v>228</v>
      </c>
      <c r="D40" s="1" t="s">
        <v>57</v>
      </c>
      <c r="E40" s="24"/>
      <c r="F40" s="2" t="s">
        <v>221</v>
      </c>
      <c r="G40" s="1" t="s">
        <v>201</v>
      </c>
      <c r="H40" s="1" t="s">
        <v>179</v>
      </c>
      <c r="I40" s="24"/>
      <c r="J40" s="24"/>
      <c r="K40" s="24"/>
      <c r="L40" s="24" t="s">
        <v>274</v>
      </c>
      <c r="M40" s="16" t="s">
        <v>314</v>
      </c>
      <c r="N40" s="24"/>
      <c r="O40" s="16" t="s">
        <v>316</v>
      </c>
      <c r="P40" s="16" t="s">
        <v>348</v>
      </c>
      <c r="Q40" s="24"/>
      <c r="R40" s="24"/>
      <c r="S40" s="24"/>
      <c r="T40" s="24"/>
      <c r="U40" s="24" t="s">
        <v>350</v>
      </c>
      <c r="V40" s="24" t="s">
        <v>234</v>
      </c>
    </row>
    <row r="41" spans="1:22" x14ac:dyDescent="0.25">
      <c r="A41" s="9"/>
      <c r="B41" s="24"/>
      <c r="C41" s="1" t="s">
        <v>214</v>
      </c>
      <c r="D41" s="1" t="s">
        <v>201</v>
      </c>
      <c r="E41" s="24"/>
      <c r="F41" s="2" t="s">
        <v>221</v>
      </c>
      <c r="G41" s="1" t="s">
        <v>201</v>
      </c>
      <c r="H41" s="1" t="s">
        <v>180</v>
      </c>
      <c r="I41" s="24"/>
      <c r="J41" s="24"/>
      <c r="K41" s="24"/>
      <c r="L41" s="24" t="s">
        <v>279</v>
      </c>
      <c r="M41" s="16" t="s">
        <v>258</v>
      </c>
      <c r="N41" s="24"/>
      <c r="O41" s="16" t="s">
        <v>325</v>
      </c>
      <c r="P41" s="16" t="s">
        <v>348</v>
      </c>
      <c r="Q41" s="24"/>
      <c r="R41" s="24"/>
      <c r="S41" s="24"/>
      <c r="T41" s="24"/>
      <c r="U41" s="24" t="s">
        <v>351</v>
      </c>
      <c r="V41" s="24" t="s">
        <v>234</v>
      </c>
    </row>
    <row r="42" spans="1:22" x14ac:dyDescent="0.25">
      <c r="A42" s="9"/>
      <c r="B42" s="24"/>
      <c r="C42" s="1" t="s">
        <v>214</v>
      </c>
      <c r="D42" s="1" t="s">
        <v>111</v>
      </c>
      <c r="E42" s="24"/>
      <c r="F42" s="2" t="s">
        <v>221</v>
      </c>
      <c r="G42" s="1" t="s">
        <v>201</v>
      </c>
      <c r="H42" s="1" t="s">
        <v>182</v>
      </c>
      <c r="I42" s="24"/>
      <c r="J42" s="24"/>
      <c r="K42" s="24"/>
      <c r="L42" s="24" t="s">
        <v>279</v>
      </c>
      <c r="M42" s="16" t="s">
        <v>295</v>
      </c>
      <c r="N42" s="24"/>
      <c r="O42" s="16" t="s">
        <v>344</v>
      </c>
      <c r="P42" s="16" t="s">
        <v>348</v>
      </c>
      <c r="Q42" s="24"/>
      <c r="R42" s="24"/>
      <c r="S42" s="24"/>
      <c r="T42" s="24"/>
      <c r="U42" s="24" t="s">
        <v>352</v>
      </c>
      <c r="V42" s="24" t="s">
        <v>234</v>
      </c>
    </row>
    <row r="43" spans="1:22" x14ac:dyDescent="0.25">
      <c r="A43" s="9"/>
      <c r="B43" s="24"/>
      <c r="C43" s="1" t="s">
        <v>214</v>
      </c>
      <c r="D43" s="1" t="s">
        <v>30</v>
      </c>
      <c r="E43" s="24"/>
      <c r="F43" s="2" t="s">
        <v>221</v>
      </c>
      <c r="G43" s="1" t="s">
        <v>201</v>
      </c>
      <c r="H43" s="1" t="s">
        <v>184</v>
      </c>
      <c r="I43" s="24"/>
      <c r="J43" s="24"/>
      <c r="K43" s="24"/>
      <c r="L43" s="24" t="s">
        <v>279</v>
      </c>
      <c r="M43" s="16" t="s">
        <v>321</v>
      </c>
      <c r="N43" s="24"/>
      <c r="O43" s="24" t="s">
        <v>236</v>
      </c>
      <c r="P43" s="49" t="s">
        <v>205</v>
      </c>
      <c r="Q43" s="24"/>
      <c r="R43" s="24"/>
      <c r="S43" s="24"/>
      <c r="T43" s="24"/>
      <c r="U43" s="24" t="s">
        <v>353</v>
      </c>
      <c r="V43" s="24" t="s">
        <v>234</v>
      </c>
    </row>
    <row r="44" spans="1:22" x14ac:dyDescent="0.25">
      <c r="A44" s="9"/>
      <c r="B44" s="24"/>
      <c r="C44" s="1" t="s">
        <v>214</v>
      </c>
      <c r="D44" s="1" t="s">
        <v>70</v>
      </c>
      <c r="E44" s="24"/>
      <c r="F44" s="2" t="s">
        <v>221</v>
      </c>
      <c r="G44" s="1" t="s">
        <v>201</v>
      </c>
      <c r="H44" s="1" t="s">
        <v>256</v>
      </c>
      <c r="I44" s="24"/>
      <c r="J44" s="24"/>
      <c r="K44" s="24"/>
      <c r="L44" s="24"/>
      <c r="M44" s="24"/>
      <c r="N44" s="24"/>
      <c r="O44" s="16" t="s">
        <v>206</v>
      </c>
      <c r="P44" s="16" t="s">
        <v>206</v>
      </c>
      <c r="Q44" s="24"/>
      <c r="R44" s="24"/>
      <c r="S44" s="24"/>
      <c r="T44" s="24"/>
      <c r="U44" s="24" t="s">
        <v>354</v>
      </c>
      <c r="V44" s="24" t="s">
        <v>208</v>
      </c>
    </row>
    <row r="45" spans="1:22" x14ac:dyDescent="0.25">
      <c r="A45" s="9"/>
      <c r="B45" s="24"/>
      <c r="C45" s="1" t="s">
        <v>214</v>
      </c>
      <c r="D45" s="1" t="s">
        <v>77</v>
      </c>
      <c r="E45" s="24"/>
      <c r="F45" s="2" t="s">
        <v>221</v>
      </c>
      <c r="G45" s="1" t="s">
        <v>201</v>
      </c>
      <c r="H45" s="1" t="s">
        <v>187</v>
      </c>
      <c r="I45" s="24"/>
      <c r="J45" s="24"/>
      <c r="K45" s="24"/>
      <c r="L45" s="24"/>
      <c r="M45" s="24"/>
      <c r="N45" s="24"/>
      <c r="Q45" s="24"/>
      <c r="R45" s="24"/>
      <c r="S45" s="24"/>
      <c r="T45" s="24"/>
      <c r="U45" s="24" t="s">
        <v>355</v>
      </c>
      <c r="V45" s="24" t="s">
        <v>208</v>
      </c>
    </row>
    <row r="46" spans="1:22" x14ac:dyDescent="0.25">
      <c r="A46" s="9"/>
      <c r="B46" s="24"/>
      <c r="C46" s="1" t="s">
        <v>214</v>
      </c>
      <c r="D46" s="1" t="s">
        <v>42</v>
      </c>
      <c r="E46" s="24"/>
      <c r="F46" s="2" t="s">
        <v>221</v>
      </c>
      <c r="G46" s="1" t="s">
        <v>201</v>
      </c>
      <c r="H46" s="1" t="s">
        <v>267</v>
      </c>
      <c r="I46" s="24"/>
      <c r="J46" s="24"/>
      <c r="K46" s="24"/>
      <c r="L46" s="24"/>
      <c r="M46" s="24"/>
      <c r="N46" s="24"/>
      <c r="Q46" s="24"/>
      <c r="R46" s="24"/>
      <c r="S46" s="24"/>
      <c r="T46" s="24"/>
      <c r="U46" s="24" t="s">
        <v>356</v>
      </c>
      <c r="V46" s="24" t="s">
        <v>208</v>
      </c>
    </row>
    <row r="47" spans="1:22" x14ac:dyDescent="0.25">
      <c r="A47" s="9"/>
      <c r="B47" s="24"/>
      <c r="C47" s="1" t="s">
        <v>214</v>
      </c>
      <c r="D47" s="1" t="s">
        <v>51</v>
      </c>
      <c r="E47" s="24"/>
      <c r="F47" s="2" t="s">
        <v>221</v>
      </c>
      <c r="G47" s="1" t="s">
        <v>201</v>
      </c>
      <c r="H47" s="1" t="s">
        <v>188</v>
      </c>
      <c r="I47" s="24"/>
      <c r="J47" s="24"/>
      <c r="K47" s="24"/>
      <c r="L47" s="24"/>
      <c r="M47" s="24"/>
      <c r="N47" s="24"/>
      <c r="Q47" s="24"/>
      <c r="R47" s="24"/>
      <c r="S47" s="24"/>
      <c r="T47" s="24"/>
      <c r="U47" s="24" t="s">
        <v>357</v>
      </c>
      <c r="V47" s="24" t="s">
        <v>208</v>
      </c>
    </row>
    <row r="48" spans="1:22" x14ac:dyDescent="0.25">
      <c r="A48" s="9"/>
      <c r="B48" s="24"/>
      <c r="C48" s="1" t="s">
        <v>214</v>
      </c>
      <c r="D48" s="1" t="s">
        <v>57</v>
      </c>
      <c r="E48" s="24"/>
      <c r="F48" s="2" t="s">
        <v>221</v>
      </c>
      <c r="G48" s="1" t="s">
        <v>201</v>
      </c>
      <c r="H48" s="1" t="s">
        <v>278</v>
      </c>
      <c r="I48" s="24"/>
      <c r="J48" s="24"/>
      <c r="K48" s="24"/>
      <c r="L48" s="24"/>
      <c r="M48" s="24"/>
      <c r="N48" s="24"/>
      <c r="Q48" s="24"/>
      <c r="R48" s="24"/>
      <c r="S48" s="24"/>
      <c r="T48" s="24"/>
      <c r="U48" s="24" t="s">
        <v>358</v>
      </c>
      <c r="V48" s="24" t="s">
        <v>234</v>
      </c>
    </row>
    <row r="49" spans="1:22" x14ac:dyDescent="0.25">
      <c r="A49" s="9"/>
      <c r="B49" s="24"/>
      <c r="C49" s="1" t="s">
        <v>209</v>
      </c>
      <c r="D49" s="1" t="s">
        <v>201</v>
      </c>
      <c r="E49" s="24"/>
      <c r="F49" s="2" t="s">
        <v>221</v>
      </c>
      <c r="G49" s="1" t="s">
        <v>201</v>
      </c>
      <c r="H49" s="1" t="s">
        <v>283</v>
      </c>
      <c r="I49" s="24"/>
      <c r="J49" s="24"/>
      <c r="K49" s="24"/>
      <c r="L49" s="24"/>
      <c r="M49" s="24"/>
      <c r="N49" s="24"/>
      <c r="Q49" s="24"/>
      <c r="R49" s="24"/>
      <c r="S49" s="24"/>
      <c r="T49" s="24"/>
      <c r="U49" s="24" t="s">
        <v>359</v>
      </c>
      <c r="V49" s="24" t="s">
        <v>261</v>
      </c>
    </row>
    <row r="50" spans="1:22" x14ac:dyDescent="0.25">
      <c r="A50" s="9"/>
      <c r="B50" s="24"/>
      <c r="C50" s="1" t="s">
        <v>209</v>
      </c>
      <c r="D50" s="1" t="s">
        <v>30</v>
      </c>
      <c r="E50" s="24"/>
      <c r="F50" s="2" t="s">
        <v>221</v>
      </c>
      <c r="G50" s="1" t="s">
        <v>201</v>
      </c>
      <c r="H50" s="1" t="s">
        <v>162</v>
      </c>
      <c r="I50" s="24"/>
      <c r="J50" s="24"/>
      <c r="K50" s="24"/>
      <c r="L50" s="24"/>
      <c r="M50" s="24"/>
      <c r="N50" s="24"/>
      <c r="Q50" s="24"/>
      <c r="R50" s="24"/>
      <c r="S50" s="24"/>
      <c r="T50" s="24"/>
      <c r="U50" s="24" t="s">
        <v>360</v>
      </c>
      <c r="V50" s="24" t="s">
        <v>220</v>
      </c>
    </row>
    <row r="51" spans="1:22" x14ac:dyDescent="0.25">
      <c r="A51" s="9"/>
      <c r="B51" s="24"/>
      <c r="C51" s="1" t="s">
        <v>209</v>
      </c>
      <c r="D51" s="1" t="s">
        <v>70</v>
      </c>
      <c r="E51" s="24"/>
      <c r="F51" s="2" t="s">
        <v>221</v>
      </c>
      <c r="G51" s="1" t="s">
        <v>201</v>
      </c>
      <c r="H51" s="1" t="s">
        <v>193</v>
      </c>
      <c r="I51" s="24"/>
      <c r="J51" s="24"/>
      <c r="K51" s="24"/>
      <c r="L51" s="24"/>
      <c r="M51" s="24"/>
      <c r="N51" s="24"/>
      <c r="Q51" s="24"/>
      <c r="R51" s="24"/>
      <c r="S51" s="24"/>
      <c r="T51" s="24"/>
      <c r="U51" s="24" t="s">
        <v>361</v>
      </c>
      <c r="V51" s="24" t="s">
        <v>234</v>
      </c>
    </row>
    <row r="52" spans="1:22" x14ac:dyDescent="0.25">
      <c r="A52" s="9"/>
      <c r="B52" s="24"/>
      <c r="C52" s="1" t="s">
        <v>209</v>
      </c>
      <c r="D52" s="1" t="s">
        <v>77</v>
      </c>
      <c r="E52" s="24"/>
      <c r="F52" s="2" t="s">
        <v>221</v>
      </c>
      <c r="G52" s="1" t="s">
        <v>201</v>
      </c>
      <c r="H52" s="1" t="s">
        <v>293</v>
      </c>
      <c r="I52" s="24"/>
      <c r="J52" s="24"/>
      <c r="K52" s="24"/>
      <c r="L52" s="24"/>
      <c r="M52" s="24"/>
      <c r="N52" s="24"/>
      <c r="Q52" s="24"/>
      <c r="R52" s="24"/>
      <c r="S52" s="24"/>
      <c r="T52" s="24"/>
      <c r="U52" s="24" t="s">
        <v>362</v>
      </c>
      <c r="V52" s="24" t="s">
        <v>208</v>
      </c>
    </row>
    <row r="53" spans="1:22" x14ac:dyDescent="0.25">
      <c r="A53" s="9"/>
      <c r="B53" s="24"/>
      <c r="C53" s="1" t="s">
        <v>209</v>
      </c>
      <c r="D53" s="1" t="s">
        <v>42</v>
      </c>
      <c r="E53" s="24"/>
      <c r="F53" s="2" t="s">
        <v>221</v>
      </c>
      <c r="G53" s="1" t="s">
        <v>273</v>
      </c>
      <c r="H53" s="8" t="s">
        <v>273</v>
      </c>
      <c r="I53" s="24"/>
      <c r="J53" s="24"/>
      <c r="K53" s="24"/>
      <c r="L53" s="24"/>
      <c r="M53" s="24"/>
      <c r="N53" s="24"/>
      <c r="Q53" s="24"/>
      <c r="R53" s="24"/>
      <c r="S53" s="24"/>
      <c r="T53" s="24"/>
      <c r="U53" s="24" t="s">
        <v>363</v>
      </c>
      <c r="V53" s="24" t="s">
        <v>364</v>
      </c>
    </row>
    <row r="54" spans="1:22" x14ac:dyDescent="0.25">
      <c r="A54" s="9"/>
      <c r="B54" s="24"/>
      <c r="C54" s="1" t="s">
        <v>209</v>
      </c>
      <c r="D54" s="1" t="s">
        <v>57</v>
      </c>
      <c r="E54" s="24"/>
      <c r="F54" s="2" t="s">
        <v>221</v>
      </c>
      <c r="G54" s="1" t="s">
        <v>25</v>
      </c>
      <c r="H54" s="1" t="s">
        <v>63</v>
      </c>
      <c r="I54" s="24"/>
      <c r="J54" s="24"/>
      <c r="K54" s="24"/>
      <c r="L54" s="24"/>
      <c r="M54" s="24"/>
      <c r="N54" s="24"/>
      <c r="Q54" s="24"/>
      <c r="R54" s="24"/>
      <c r="S54" s="24"/>
      <c r="T54" s="24"/>
      <c r="U54" s="24" t="s">
        <v>365</v>
      </c>
      <c r="V54" s="24" t="s">
        <v>208</v>
      </c>
    </row>
    <row r="55" spans="1:22" x14ac:dyDescent="0.25">
      <c r="A55" s="9"/>
      <c r="B55" s="24"/>
      <c r="C55" s="1" t="s">
        <v>199</v>
      </c>
      <c r="D55" s="1" t="s">
        <v>201</v>
      </c>
      <c r="E55" s="24"/>
      <c r="F55" s="2" t="s">
        <v>221</v>
      </c>
      <c r="G55" s="1" t="s">
        <v>25</v>
      </c>
      <c r="H55" s="1" t="s">
        <v>65</v>
      </c>
      <c r="I55" s="24"/>
      <c r="J55" s="24"/>
      <c r="K55" s="24"/>
      <c r="L55" s="24"/>
      <c r="M55" s="24"/>
      <c r="N55" s="24"/>
      <c r="Q55" s="24"/>
      <c r="R55" s="24"/>
      <c r="S55" s="24"/>
      <c r="T55" s="24"/>
      <c r="U55" s="24" t="s">
        <v>366</v>
      </c>
      <c r="V55" s="24" t="s">
        <v>234</v>
      </c>
    </row>
    <row r="56" spans="1:22" x14ac:dyDescent="0.25">
      <c r="A56" s="9"/>
      <c r="B56" s="24"/>
      <c r="C56" s="1" t="s">
        <v>199</v>
      </c>
      <c r="D56" s="1" t="s">
        <v>30</v>
      </c>
      <c r="E56" s="24"/>
      <c r="F56" s="2" t="s">
        <v>221</v>
      </c>
      <c r="G56" s="1" t="s">
        <v>67</v>
      </c>
      <c r="H56" s="1" t="s">
        <v>67</v>
      </c>
      <c r="I56" s="24"/>
      <c r="J56" s="24"/>
      <c r="K56" s="24"/>
      <c r="L56" s="24"/>
      <c r="M56" s="24"/>
      <c r="N56" s="24"/>
      <c r="Q56" s="24"/>
      <c r="R56" s="24"/>
      <c r="S56" s="24"/>
      <c r="T56" s="24"/>
      <c r="U56" s="24" t="s">
        <v>367</v>
      </c>
      <c r="V56" s="24" t="s">
        <v>208</v>
      </c>
    </row>
    <row r="57" spans="1:22" x14ac:dyDescent="0.25">
      <c r="A57" s="9"/>
      <c r="B57" s="24"/>
      <c r="C57" s="1" t="s">
        <v>199</v>
      </c>
      <c r="D57" s="1" t="s">
        <v>70</v>
      </c>
      <c r="E57" s="24"/>
      <c r="F57" s="2" t="s">
        <v>221</v>
      </c>
      <c r="G57" s="1" t="s">
        <v>30</v>
      </c>
      <c r="H57" s="1" t="s">
        <v>31</v>
      </c>
      <c r="I57" s="24"/>
      <c r="J57" s="24"/>
      <c r="K57" s="24"/>
      <c r="L57" s="24"/>
      <c r="M57" s="24"/>
      <c r="N57" s="24"/>
      <c r="Q57" s="24"/>
      <c r="R57" s="24"/>
      <c r="S57" s="24"/>
      <c r="T57" s="24"/>
      <c r="U57" s="24" t="s">
        <v>368</v>
      </c>
      <c r="V57" s="24" t="s">
        <v>335</v>
      </c>
    </row>
    <row r="58" spans="1:22" x14ac:dyDescent="0.25">
      <c r="A58" s="9"/>
      <c r="B58" s="24"/>
      <c r="C58" s="1" t="s">
        <v>199</v>
      </c>
      <c r="D58" s="1" t="s">
        <v>42</v>
      </c>
      <c r="E58" s="24"/>
      <c r="F58" s="2" t="s">
        <v>221</v>
      </c>
      <c r="G58" s="1" t="s">
        <v>30</v>
      </c>
      <c r="H58" s="1" t="s">
        <v>33</v>
      </c>
      <c r="I58" s="24"/>
      <c r="J58" s="24"/>
      <c r="K58" s="24"/>
      <c r="L58" s="24"/>
      <c r="M58" s="24"/>
      <c r="N58" s="24"/>
      <c r="Q58" s="24"/>
      <c r="R58" s="24"/>
      <c r="S58" s="24"/>
      <c r="T58" s="24"/>
      <c r="U58" s="24" t="s">
        <v>369</v>
      </c>
      <c r="V58" s="24" t="s">
        <v>234</v>
      </c>
    </row>
    <row r="59" spans="1:22" x14ac:dyDescent="0.25">
      <c r="A59" s="9"/>
      <c r="B59" s="24"/>
      <c r="C59" s="1" t="s">
        <v>199</v>
      </c>
      <c r="D59" s="1" t="s">
        <v>57</v>
      </c>
      <c r="E59" s="24"/>
      <c r="F59" s="2" t="s">
        <v>221</v>
      </c>
      <c r="G59" s="1" t="s">
        <v>30</v>
      </c>
      <c r="H59" s="1" t="s">
        <v>35</v>
      </c>
      <c r="I59" s="24"/>
      <c r="J59" s="24"/>
      <c r="K59" s="24"/>
      <c r="L59" s="24"/>
      <c r="M59" s="24"/>
      <c r="N59" s="24"/>
      <c r="Q59" s="24"/>
      <c r="R59" s="24"/>
      <c r="S59" s="24"/>
      <c r="T59" s="24"/>
      <c r="U59" s="24" t="s">
        <v>370</v>
      </c>
      <c r="V59" s="24" t="s">
        <v>208</v>
      </c>
    </row>
    <row r="60" spans="1:22" x14ac:dyDescent="0.25">
      <c r="A60" s="9"/>
      <c r="B60" s="24"/>
      <c r="C60" s="1" t="s">
        <v>371</v>
      </c>
      <c r="D60" s="1" t="s">
        <v>201</v>
      </c>
      <c r="E60" s="24"/>
      <c r="F60" s="2" t="s">
        <v>221</v>
      </c>
      <c r="G60" s="1" t="s">
        <v>30</v>
      </c>
      <c r="H60" s="1" t="s">
        <v>312</v>
      </c>
      <c r="I60" s="24"/>
      <c r="J60" s="24"/>
      <c r="K60" s="24"/>
      <c r="L60" s="24"/>
      <c r="M60" s="24"/>
      <c r="N60" s="24"/>
      <c r="Q60" s="24"/>
      <c r="R60" s="24"/>
      <c r="S60" s="24"/>
      <c r="T60" s="24"/>
      <c r="U60" s="24" t="s">
        <v>372</v>
      </c>
      <c r="V60" s="24" t="s">
        <v>234</v>
      </c>
    </row>
    <row r="61" spans="1:22" x14ac:dyDescent="0.25">
      <c r="A61" s="9"/>
      <c r="B61" s="24"/>
      <c r="C61" s="1" t="s">
        <v>371</v>
      </c>
      <c r="D61" s="1" t="s">
        <v>121</v>
      </c>
      <c r="E61" s="24"/>
      <c r="F61" s="2" t="s">
        <v>221</v>
      </c>
      <c r="G61" s="1" t="s">
        <v>70</v>
      </c>
      <c r="H61" s="1" t="s">
        <v>71</v>
      </c>
      <c r="I61" s="24"/>
      <c r="J61" s="24"/>
      <c r="K61" s="24"/>
      <c r="L61" s="24"/>
      <c r="M61" s="24"/>
      <c r="N61" s="24"/>
      <c r="Q61" s="24"/>
      <c r="R61" s="24"/>
      <c r="S61" s="24"/>
      <c r="T61" s="24"/>
      <c r="U61" s="24" t="s">
        <v>373</v>
      </c>
      <c r="V61" s="24" t="s">
        <v>208</v>
      </c>
    </row>
    <row r="62" spans="1:22" x14ac:dyDescent="0.25">
      <c r="A62" s="9"/>
      <c r="B62" s="24"/>
      <c r="C62" s="1" t="s">
        <v>371</v>
      </c>
      <c r="D62" s="1" t="s">
        <v>126</v>
      </c>
      <c r="E62" s="24"/>
      <c r="F62" s="2" t="s">
        <v>221</v>
      </c>
      <c r="G62" s="1" t="s">
        <v>70</v>
      </c>
      <c r="H62" s="1" t="s">
        <v>73</v>
      </c>
      <c r="I62" s="24"/>
      <c r="J62" s="24"/>
      <c r="K62" s="24"/>
      <c r="L62" s="24"/>
      <c r="M62" s="24"/>
      <c r="N62" s="24"/>
      <c r="Q62" s="24"/>
      <c r="R62" s="24"/>
      <c r="S62" s="24"/>
      <c r="T62" s="24"/>
      <c r="U62" s="24" t="s">
        <v>374</v>
      </c>
      <c r="V62" s="24" t="s">
        <v>234</v>
      </c>
    </row>
    <row r="63" spans="1:22" x14ac:dyDescent="0.25">
      <c r="A63" s="9"/>
      <c r="B63" s="24"/>
      <c r="C63" s="1" t="s">
        <v>371</v>
      </c>
      <c r="D63" s="1" t="s">
        <v>124</v>
      </c>
      <c r="E63" s="24"/>
      <c r="F63" s="2" t="s">
        <v>221</v>
      </c>
      <c r="G63" s="1" t="s">
        <v>292</v>
      </c>
      <c r="H63" s="1" t="s">
        <v>375</v>
      </c>
      <c r="I63" s="24"/>
      <c r="J63" s="24"/>
      <c r="K63" s="24"/>
      <c r="L63" s="24"/>
      <c r="M63" s="24"/>
      <c r="N63" s="24"/>
      <c r="Q63" s="24"/>
      <c r="R63" s="24"/>
      <c r="S63" s="24"/>
      <c r="T63" s="24"/>
      <c r="U63" s="24" t="s">
        <v>376</v>
      </c>
      <c r="V63" s="24" t="s">
        <v>208</v>
      </c>
    </row>
    <row r="64" spans="1:22" x14ac:dyDescent="0.25">
      <c r="A64" s="9"/>
      <c r="B64" s="24"/>
      <c r="C64" s="1" t="s">
        <v>129</v>
      </c>
      <c r="D64" s="1" t="s">
        <v>201</v>
      </c>
      <c r="E64" s="24"/>
      <c r="F64" s="2" t="s">
        <v>221</v>
      </c>
      <c r="G64" s="1" t="s">
        <v>39</v>
      </c>
      <c r="H64" s="1" t="s">
        <v>40</v>
      </c>
      <c r="I64" s="24"/>
      <c r="J64" s="24"/>
      <c r="K64" s="24"/>
      <c r="L64" s="24"/>
      <c r="M64" s="24"/>
      <c r="N64" s="24"/>
      <c r="Q64" s="24"/>
      <c r="R64" s="24"/>
      <c r="S64" s="24"/>
      <c r="T64" s="24"/>
      <c r="U64" s="24" t="s">
        <v>377</v>
      </c>
      <c r="V64" s="24" t="s">
        <v>234</v>
      </c>
    </row>
    <row r="65" spans="1:22" x14ac:dyDescent="0.25">
      <c r="A65" s="9"/>
      <c r="B65" s="24"/>
      <c r="C65" s="1" t="s">
        <v>129</v>
      </c>
      <c r="D65" s="1" t="s">
        <v>39</v>
      </c>
      <c r="E65" s="24"/>
      <c r="F65" s="2" t="s">
        <v>221</v>
      </c>
      <c r="G65" s="1" t="s">
        <v>39</v>
      </c>
      <c r="H65" s="1" t="s">
        <v>42</v>
      </c>
      <c r="I65" s="24"/>
      <c r="J65" s="24"/>
      <c r="K65" s="24"/>
      <c r="L65" s="24"/>
      <c r="M65" s="24"/>
      <c r="N65" s="24"/>
      <c r="Q65" s="24"/>
      <c r="R65" s="24"/>
      <c r="S65" s="24"/>
      <c r="T65" s="24"/>
      <c r="U65" s="24" t="s">
        <v>378</v>
      </c>
      <c r="V65" s="24" t="s">
        <v>208</v>
      </c>
    </row>
    <row r="66" spans="1:22" x14ac:dyDescent="0.25">
      <c r="A66" s="9"/>
      <c r="B66" s="24"/>
      <c r="C66" s="1" t="s">
        <v>129</v>
      </c>
      <c r="D66" s="1" t="s">
        <v>132</v>
      </c>
      <c r="E66" s="24"/>
      <c r="F66" s="2" t="s">
        <v>221</v>
      </c>
      <c r="G66" s="1" t="s">
        <v>39</v>
      </c>
      <c r="H66" s="1" t="s">
        <v>44</v>
      </c>
      <c r="I66" s="24"/>
      <c r="J66" s="24"/>
      <c r="K66" s="24"/>
      <c r="L66" s="24"/>
      <c r="M66" s="24"/>
      <c r="N66" s="24"/>
      <c r="Q66" s="24"/>
      <c r="R66" s="24"/>
      <c r="S66" s="24"/>
      <c r="T66" s="24"/>
      <c r="U66" s="24" t="s">
        <v>379</v>
      </c>
      <c r="V66" s="24" t="s">
        <v>208</v>
      </c>
    </row>
    <row r="67" spans="1:22" x14ac:dyDescent="0.25">
      <c r="A67" s="9"/>
      <c r="B67" s="24"/>
      <c r="C67" s="1" t="s">
        <v>129</v>
      </c>
      <c r="D67" s="1" t="s">
        <v>134</v>
      </c>
      <c r="E67" s="24"/>
      <c r="F67" s="2" t="s">
        <v>221</v>
      </c>
      <c r="G67" s="1" t="s">
        <v>77</v>
      </c>
      <c r="H67" s="1" t="s">
        <v>380</v>
      </c>
      <c r="I67" s="24"/>
      <c r="J67" s="24"/>
      <c r="K67" s="24"/>
      <c r="L67" s="24"/>
      <c r="M67" s="24"/>
      <c r="N67" s="24"/>
      <c r="Q67" s="24"/>
      <c r="R67" s="24"/>
      <c r="S67" s="24"/>
      <c r="T67" s="24"/>
      <c r="U67" s="24" t="s">
        <v>381</v>
      </c>
      <c r="V67" s="24" t="s">
        <v>208</v>
      </c>
    </row>
    <row r="68" spans="1:22" x14ac:dyDescent="0.25">
      <c r="A68" s="9"/>
      <c r="B68" s="24"/>
      <c r="C68" s="1" t="s">
        <v>129</v>
      </c>
      <c r="D68" s="1" t="s">
        <v>141</v>
      </c>
      <c r="E68" s="24"/>
      <c r="F68" s="2" t="s">
        <v>221</v>
      </c>
      <c r="G68" s="1" t="s">
        <v>77</v>
      </c>
      <c r="H68" s="1" t="s">
        <v>382</v>
      </c>
      <c r="I68" s="24"/>
      <c r="J68" s="24"/>
      <c r="K68" s="24"/>
      <c r="L68" s="24"/>
      <c r="M68" s="24"/>
      <c r="N68" s="24"/>
      <c r="Q68" s="24"/>
      <c r="R68" s="24"/>
      <c r="S68" s="24"/>
      <c r="T68" s="24"/>
      <c r="U68" s="24" t="s">
        <v>383</v>
      </c>
      <c r="V68" s="24" t="s">
        <v>208</v>
      </c>
    </row>
    <row r="69" spans="1:22" x14ac:dyDescent="0.25">
      <c r="A69" s="9"/>
      <c r="B69" s="24"/>
      <c r="C69" s="1" t="s">
        <v>129</v>
      </c>
      <c r="D69" s="1" t="s">
        <v>151</v>
      </c>
      <c r="E69" s="24"/>
      <c r="F69" s="2" t="s">
        <v>221</v>
      </c>
      <c r="G69" s="1" t="s">
        <v>77</v>
      </c>
      <c r="H69" s="1" t="s">
        <v>384</v>
      </c>
      <c r="I69" s="24"/>
      <c r="J69" s="24"/>
      <c r="K69" s="24"/>
      <c r="L69" s="24"/>
      <c r="M69" s="24"/>
      <c r="N69" s="24"/>
      <c r="Q69" s="24"/>
      <c r="R69" s="24"/>
      <c r="S69" s="24"/>
      <c r="T69" s="24"/>
      <c r="U69" s="24" t="s">
        <v>385</v>
      </c>
      <c r="V69" s="24" t="s">
        <v>241</v>
      </c>
    </row>
    <row r="70" spans="1:22" x14ac:dyDescent="0.25">
      <c r="A70" s="9"/>
      <c r="B70" s="24"/>
      <c r="C70" s="1" t="s">
        <v>129</v>
      </c>
      <c r="D70" s="1" t="s">
        <v>57</v>
      </c>
      <c r="E70" s="24"/>
      <c r="F70" s="2" t="s">
        <v>221</v>
      </c>
      <c r="G70" s="1" t="s">
        <v>77</v>
      </c>
      <c r="H70" s="1" t="s">
        <v>386</v>
      </c>
      <c r="I70" s="24"/>
      <c r="J70" s="24"/>
      <c r="K70" s="24"/>
      <c r="L70" s="24"/>
      <c r="M70" s="24"/>
      <c r="N70" s="24"/>
      <c r="Q70" s="24"/>
      <c r="R70" s="24"/>
      <c r="S70" s="24"/>
      <c r="T70" s="24"/>
      <c r="U70" s="24" t="s">
        <v>387</v>
      </c>
      <c r="V70" s="24" t="s">
        <v>208</v>
      </c>
    </row>
    <row r="71" spans="1:22" x14ac:dyDescent="0.25">
      <c r="A71" s="9"/>
      <c r="B71" s="24"/>
      <c r="C71" s="1" t="s">
        <v>129</v>
      </c>
      <c r="D71" s="1" t="s">
        <v>162</v>
      </c>
      <c r="E71" s="24"/>
      <c r="F71" s="2" t="s">
        <v>221</v>
      </c>
      <c r="G71" s="1" t="s">
        <v>303</v>
      </c>
      <c r="H71" s="1" t="s">
        <v>87</v>
      </c>
      <c r="I71" s="24"/>
      <c r="J71" s="24"/>
      <c r="K71" s="24"/>
      <c r="L71" s="24"/>
      <c r="M71" s="24"/>
      <c r="N71" s="24"/>
      <c r="Q71" s="24"/>
      <c r="R71" s="24"/>
      <c r="S71" s="24"/>
      <c r="T71" s="24"/>
      <c r="U71" s="24" t="s">
        <v>388</v>
      </c>
      <c r="V71" s="24" t="s">
        <v>208</v>
      </c>
    </row>
    <row r="72" spans="1:22" x14ac:dyDescent="0.25">
      <c r="A72" s="9"/>
      <c r="B72" s="24"/>
      <c r="C72" s="6" t="s">
        <v>246</v>
      </c>
      <c r="D72" s="1" t="s">
        <v>166</v>
      </c>
      <c r="E72" s="24"/>
      <c r="F72" s="2" t="s">
        <v>221</v>
      </c>
      <c r="G72" s="1" t="s">
        <v>303</v>
      </c>
      <c r="H72" s="1" t="s">
        <v>90</v>
      </c>
      <c r="I72" s="24"/>
      <c r="J72" s="24"/>
      <c r="K72" s="24"/>
      <c r="L72" s="24"/>
      <c r="M72" s="24"/>
      <c r="N72" s="24"/>
      <c r="Q72" s="24"/>
      <c r="R72" s="24"/>
      <c r="S72" s="24"/>
      <c r="T72" s="24"/>
      <c r="U72" s="24" t="s">
        <v>389</v>
      </c>
      <c r="V72" s="24" t="s">
        <v>234</v>
      </c>
    </row>
    <row r="73" spans="1:22" x14ac:dyDescent="0.25">
      <c r="A73" s="9"/>
      <c r="B73" s="24"/>
      <c r="C73" s="6"/>
      <c r="E73" s="24"/>
      <c r="F73" s="2" t="s">
        <v>221</v>
      </c>
      <c r="G73" s="1" t="s">
        <v>42</v>
      </c>
      <c r="H73" s="1" t="s">
        <v>42</v>
      </c>
      <c r="I73" s="24"/>
      <c r="J73" s="24"/>
      <c r="K73" s="24"/>
      <c r="L73" s="24"/>
      <c r="M73" s="24"/>
      <c r="N73" s="24"/>
      <c r="Q73" s="24"/>
      <c r="R73" s="24"/>
      <c r="S73" s="24"/>
      <c r="T73" s="24"/>
      <c r="U73" s="24" t="s">
        <v>390</v>
      </c>
      <c r="V73" s="24" t="s">
        <v>208</v>
      </c>
    </row>
    <row r="74" spans="1:22" x14ac:dyDescent="0.25">
      <c r="A74" s="9"/>
      <c r="B74" s="24"/>
      <c r="C74" s="6"/>
      <c r="E74" s="24"/>
      <c r="F74" s="2" t="s">
        <v>221</v>
      </c>
      <c r="G74" s="1" t="s">
        <v>51</v>
      </c>
      <c r="H74" s="1" t="s">
        <v>93</v>
      </c>
      <c r="I74" s="24"/>
      <c r="J74" s="24"/>
      <c r="K74" s="24"/>
      <c r="L74" s="24"/>
      <c r="M74" s="24"/>
      <c r="N74" s="24"/>
      <c r="Q74" s="24"/>
      <c r="R74" s="24"/>
      <c r="S74" s="24"/>
      <c r="T74" s="24"/>
      <c r="U74" s="24" t="s">
        <v>391</v>
      </c>
      <c r="V74" s="24" t="s">
        <v>208</v>
      </c>
    </row>
    <row r="75" spans="1:22" x14ac:dyDescent="0.25">
      <c r="A75" s="9"/>
      <c r="B75" s="24"/>
      <c r="C75" s="6"/>
      <c r="E75" s="24"/>
      <c r="F75" s="2" t="s">
        <v>221</v>
      </c>
      <c r="G75" s="1" t="s">
        <v>95</v>
      </c>
      <c r="H75" s="1" t="s">
        <v>95</v>
      </c>
      <c r="I75" s="24"/>
      <c r="J75" s="24"/>
      <c r="K75" s="24"/>
      <c r="L75" s="24"/>
      <c r="M75" s="24"/>
      <c r="N75" s="24"/>
      <c r="Q75" s="24"/>
      <c r="R75" s="24"/>
      <c r="S75" s="24"/>
      <c r="T75" s="24"/>
      <c r="U75" s="24" t="s">
        <v>392</v>
      </c>
      <c r="V75" s="24" t="s">
        <v>234</v>
      </c>
    </row>
    <row r="76" spans="1:22" x14ac:dyDescent="0.25">
      <c r="A76" s="9"/>
      <c r="B76" s="24"/>
      <c r="C76" s="6"/>
      <c r="E76" s="24"/>
      <c r="F76" s="2" t="s">
        <v>221</v>
      </c>
      <c r="G76" s="1" t="s">
        <v>53</v>
      </c>
      <c r="H76" s="1" t="s">
        <v>393</v>
      </c>
      <c r="I76" s="24"/>
      <c r="J76" s="24"/>
      <c r="K76" s="24"/>
      <c r="L76" s="24"/>
      <c r="M76" s="24"/>
      <c r="N76" s="24"/>
      <c r="Q76" s="24"/>
      <c r="R76" s="24"/>
      <c r="S76" s="24"/>
      <c r="T76" s="24"/>
      <c r="U76" s="24" t="s">
        <v>394</v>
      </c>
      <c r="V76" s="24" t="s">
        <v>311</v>
      </c>
    </row>
    <row r="77" spans="1:22" x14ac:dyDescent="0.25">
      <c r="A77" s="9"/>
      <c r="B77" s="24"/>
      <c r="C77" s="6"/>
      <c r="E77" s="24"/>
      <c r="F77" s="2" t="s">
        <v>221</v>
      </c>
      <c r="G77" s="1" t="s">
        <v>53</v>
      </c>
      <c r="H77" s="1" t="s">
        <v>99</v>
      </c>
      <c r="I77" s="24"/>
      <c r="J77" s="24"/>
      <c r="K77" s="24"/>
      <c r="L77" s="24"/>
      <c r="M77" s="24"/>
      <c r="N77" s="24"/>
      <c r="Q77" s="24"/>
      <c r="R77" s="24"/>
      <c r="S77" s="24"/>
      <c r="T77" s="24"/>
      <c r="U77" s="24" t="s">
        <v>395</v>
      </c>
      <c r="V77" s="24" t="s">
        <v>208</v>
      </c>
    </row>
    <row r="78" spans="1:22" x14ac:dyDescent="0.25">
      <c r="B78" s="24"/>
      <c r="C78" s="6"/>
      <c r="E78" s="24"/>
      <c r="F78" s="2" t="s">
        <v>221</v>
      </c>
      <c r="G78" s="1" t="s">
        <v>53</v>
      </c>
      <c r="H78" s="1" t="s">
        <v>101</v>
      </c>
      <c r="I78" s="24"/>
      <c r="J78" s="24"/>
      <c r="K78" s="24"/>
      <c r="L78" s="24"/>
      <c r="M78" s="24"/>
      <c r="N78" s="24"/>
      <c r="Q78" s="24"/>
      <c r="R78" s="24"/>
      <c r="S78" s="24"/>
      <c r="T78" s="24"/>
      <c r="U78" s="24" t="s">
        <v>396</v>
      </c>
      <c r="V78" s="24" t="s">
        <v>208</v>
      </c>
    </row>
    <row r="79" spans="1:22" x14ac:dyDescent="0.25">
      <c r="B79" s="24"/>
      <c r="C79" s="6"/>
      <c r="E79" s="24"/>
      <c r="F79" s="2" t="s">
        <v>221</v>
      </c>
      <c r="G79" s="1" t="s">
        <v>103</v>
      </c>
      <c r="H79" s="1" t="s">
        <v>103</v>
      </c>
      <c r="I79" s="24"/>
      <c r="J79" s="24"/>
      <c r="K79" s="24"/>
      <c r="L79" s="24"/>
      <c r="M79" s="24"/>
      <c r="N79" s="24"/>
      <c r="Q79" s="24"/>
      <c r="R79" s="24"/>
      <c r="S79" s="24"/>
      <c r="T79" s="24"/>
      <c r="U79" s="24" t="s">
        <v>397</v>
      </c>
      <c r="V79" s="24" t="s">
        <v>261</v>
      </c>
    </row>
    <row r="80" spans="1:22" x14ac:dyDescent="0.25">
      <c r="B80" s="24"/>
      <c r="C80" s="6"/>
      <c r="E80" s="24"/>
      <c r="F80" s="2" t="s">
        <v>221</v>
      </c>
      <c r="G80" s="24" t="s">
        <v>57</v>
      </c>
      <c r="H80" s="24" t="s">
        <v>57</v>
      </c>
      <c r="I80" s="24"/>
      <c r="J80" s="24"/>
      <c r="K80" s="24"/>
      <c r="L80" s="24"/>
      <c r="M80" s="24"/>
      <c r="N80" s="24"/>
      <c r="Q80" s="24"/>
      <c r="R80" s="24"/>
      <c r="S80" s="24"/>
      <c r="T80" s="24"/>
      <c r="U80" s="24" t="s">
        <v>398</v>
      </c>
      <c r="V80" s="24" t="s">
        <v>208</v>
      </c>
    </row>
    <row r="81" spans="3:22" x14ac:dyDescent="0.25">
      <c r="C81" s="6"/>
      <c r="E81" s="24"/>
      <c r="F81" s="2" t="s">
        <v>221</v>
      </c>
      <c r="G81" s="1" t="s">
        <v>105</v>
      </c>
      <c r="H81" s="1" t="s">
        <v>106</v>
      </c>
      <c r="I81" s="24"/>
      <c r="J81" s="24"/>
      <c r="K81" s="24"/>
      <c r="L81" s="24"/>
      <c r="M81" s="24"/>
      <c r="N81" s="24"/>
      <c r="Q81" s="24"/>
      <c r="R81" s="24"/>
      <c r="S81" s="24"/>
      <c r="T81" s="24"/>
      <c r="U81" s="24" t="s">
        <v>399</v>
      </c>
      <c r="V81" s="24" t="s">
        <v>208</v>
      </c>
    </row>
    <row r="82" spans="3:22" x14ac:dyDescent="0.25">
      <c r="C82" s="6"/>
      <c r="E82" s="24"/>
      <c r="F82" s="42" t="s">
        <v>221</v>
      </c>
      <c r="G82" s="40" t="s">
        <v>105</v>
      </c>
      <c r="H82" s="40" t="s">
        <v>108</v>
      </c>
      <c r="I82" s="24"/>
      <c r="J82" s="24"/>
      <c r="K82" s="24"/>
      <c r="L82" s="24"/>
      <c r="M82" s="24"/>
      <c r="N82" s="24"/>
      <c r="Q82" s="24"/>
      <c r="R82" s="24"/>
      <c r="S82" s="24"/>
      <c r="T82" s="24"/>
      <c r="U82" s="24" t="s">
        <v>400</v>
      </c>
      <c r="V82" s="24" t="s">
        <v>208</v>
      </c>
    </row>
    <row r="83" spans="3:22" x14ac:dyDescent="0.25">
      <c r="C83" s="6"/>
      <c r="E83" s="24"/>
      <c r="F83" s="2" t="s">
        <v>228</v>
      </c>
      <c r="G83" s="1" t="s">
        <v>201</v>
      </c>
      <c r="H83" s="1" t="s">
        <v>202</v>
      </c>
      <c r="I83" s="24"/>
      <c r="J83" s="24"/>
      <c r="K83" s="24"/>
      <c r="L83" s="24"/>
      <c r="M83" s="24"/>
      <c r="N83" s="24"/>
      <c r="Q83" s="24"/>
      <c r="R83" s="24"/>
      <c r="S83" s="24"/>
      <c r="T83" s="24"/>
      <c r="U83" s="24" t="s">
        <v>401</v>
      </c>
      <c r="V83" s="24" t="s">
        <v>234</v>
      </c>
    </row>
    <row r="84" spans="3:22" x14ac:dyDescent="0.25">
      <c r="E84" s="24"/>
      <c r="F84" s="2" t="s">
        <v>228</v>
      </c>
      <c r="G84" s="8" t="s">
        <v>201</v>
      </c>
      <c r="H84" s="8" t="s">
        <v>210</v>
      </c>
      <c r="I84" s="24"/>
      <c r="J84" s="24"/>
      <c r="K84" s="24"/>
      <c r="L84" s="24"/>
      <c r="M84" s="24"/>
      <c r="N84" s="24"/>
      <c r="Q84" s="24"/>
      <c r="R84" s="24"/>
      <c r="S84" s="24"/>
      <c r="T84" s="24"/>
      <c r="U84" s="24" t="s">
        <v>402</v>
      </c>
      <c r="V84" s="24" t="s">
        <v>335</v>
      </c>
    </row>
    <row r="85" spans="3:22" x14ac:dyDescent="0.25">
      <c r="E85" s="24"/>
      <c r="F85" s="2" t="s">
        <v>228</v>
      </c>
      <c r="G85" s="8" t="s">
        <v>201</v>
      </c>
      <c r="H85" s="8" t="s">
        <v>215</v>
      </c>
      <c r="I85" s="24"/>
      <c r="J85" s="24"/>
      <c r="K85" s="24"/>
      <c r="L85" s="24"/>
      <c r="M85" s="24"/>
      <c r="N85" s="24"/>
      <c r="Q85" s="24"/>
      <c r="R85" s="24"/>
      <c r="S85" s="24"/>
      <c r="T85" s="24"/>
      <c r="U85" s="24" t="s">
        <v>403</v>
      </c>
      <c r="V85" s="24" t="s">
        <v>208</v>
      </c>
    </row>
    <row r="86" spans="3:22" x14ac:dyDescent="0.25">
      <c r="E86" s="24"/>
      <c r="F86" s="2" t="s">
        <v>228</v>
      </c>
      <c r="G86" s="1" t="s">
        <v>201</v>
      </c>
      <c r="H86" s="1" t="s">
        <v>176</v>
      </c>
      <c r="I86" s="24"/>
      <c r="J86" s="24"/>
      <c r="K86" s="24"/>
      <c r="L86" s="24"/>
      <c r="M86" s="24"/>
      <c r="N86" s="24"/>
      <c r="Q86" s="24"/>
      <c r="R86" s="24"/>
      <c r="S86" s="24"/>
      <c r="T86" s="24"/>
      <c r="U86" s="24" t="s">
        <v>404</v>
      </c>
      <c r="V86" s="24" t="s">
        <v>234</v>
      </c>
    </row>
    <row r="87" spans="3:22" x14ac:dyDescent="0.25">
      <c r="E87" s="24"/>
      <c r="F87" s="2" t="s">
        <v>228</v>
      </c>
      <c r="G87" s="1" t="s">
        <v>201</v>
      </c>
      <c r="H87" s="1" t="s">
        <v>229</v>
      </c>
      <c r="I87" s="24"/>
      <c r="J87" s="24"/>
      <c r="K87" s="24"/>
      <c r="L87" s="24"/>
      <c r="M87" s="24"/>
      <c r="N87" s="24"/>
      <c r="Q87" s="24"/>
      <c r="R87" s="24"/>
      <c r="S87" s="24"/>
      <c r="T87" s="24"/>
      <c r="U87" s="24" t="s">
        <v>405</v>
      </c>
      <c r="V87" s="24" t="s">
        <v>208</v>
      </c>
    </row>
    <row r="88" spans="3:22" x14ac:dyDescent="0.25">
      <c r="E88" s="24"/>
      <c r="F88" s="2" t="s">
        <v>228</v>
      </c>
      <c r="G88" s="1" t="s">
        <v>201</v>
      </c>
      <c r="H88" s="1" t="s">
        <v>179</v>
      </c>
      <c r="I88" s="24"/>
      <c r="J88" s="24"/>
      <c r="K88" s="24"/>
      <c r="L88" s="24"/>
      <c r="M88" s="24"/>
      <c r="N88" s="24"/>
      <c r="Q88" s="24"/>
      <c r="R88" s="24"/>
      <c r="S88" s="24"/>
      <c r="T88" s="24"/>
      <c r="U88" s="24" t="s">
        <v>406</v>
      </c>
      <c r="V88" s="24" t="s">
        <v>234</v>
      </c>
    </row>
    <row r="89" spans="3:22" x14ac:dyDescent="0.25">
      <c r="E89" s="24"/>
      <c r="F89" s="2" t="s">
        <v>228</v>
      </c>
      <c r="G89" s="1" t="s">
        <v>201</v>
      </c>
      <c r="H89" s="1" t="s">
        <v>180</v>
      </c>
      <c r="I89" s="24"/>
      <c r="J89" s="24"/>
      <c r="K89" s="24"/>
      <c r="L89" s="24"/>
      <c r="M89" s="24"/>
      <c r="N89" s="24"/>
      <c r="Q89" s="24"/>
      <c r="R89" s="24"/>
      <c r="S89" s="24"/>
      <c r="T89" s="24"/>
      <c r="U89" s="24" t="s">
        <v>407</v>
      </c>
      <c r="V89" s="24" t="s">
        <v>234</v>
      </c>
    </row>
    <row r="90" spans="3:22" x14ac:dyDescent="0.25">
      <c r="E90" s="24"/>
      <c r="F90" s="2" t="s">
        <v>228</v>
      </c>
      <c r="G90" s="1" t="s">
        <v>201</v>
      </c>
      <c r="H90" s="1" t="s">
        <v>182</v>
      </c>
      <c r="I90" s="24"/>
      <c r="J90" s="24"/>
      <c r="K90" s="24"/>
      <c r="L90" s="24"/>
      <c r="M90" s="24"/>
      <c r="N90" s="24"/>
      <c r="Q90" s="24"/>
      <c r="R90" s="24"/>
      <c r="S90" s="24"/>
      <c r="T90" s="24"/>
      <c r="U90" s="24" t="s">
        <v>408</v>
      </c>
      <c r="V90" s="24" t="s">
        <v>261</v>
      </c>
    </row>
    <row r="91" spans="3:22" x14ac:dyDescent="0.25">
      <c r="E91" s="24"/>
      <c r="F91" s="2" t="s">
        <v>228</v>
      </c>
      <c r="G91" s="1" t="s">
        <v>201</v>
      </c>
      <c r="H91" s="1" t="s">
        <v>184</v>
      </c>
      <c r="I91" s="24"/>
      <c r="J91" s="24"/>
      <c r="K91" s="24"/>
      <c r="L91" s="24"/>
      <c r="M91" s="24"/>
      <c r="N91" s="24"/>
      <c r="Q91" s="24"/>
      <c r="R91" s="24"/>
      <c r="S91" s="24"/>
      <c r="T91" s="24"/>
      <c r="U91" s="24" t="s">
        <v>409</v>
      </c>
      <c r="V91" s="24" t="s">
        <v>220</v>
      </c>
    </row>
    <row r="92" spans="3:22" x14ac:dyDescent="0.25">
      <c r="E92" s="24"/>
      <c r="F92" s="2" t="s">
        <v>228</v>
      </c>
      <c r="G92" s="1" t="s">
        <v>201</v>
      </c>
      <c r="H92" s="1" t="s">
        <v>256</v>
      </c>
      <c r="I92" s="24"/>
      <c r="J92" s="24"/>
      <c r="K92" s="24"/>
      <c r="L92" s="24"/>
      <c r="M92" s="24"/>
      <c r="N92" s="24"/>
      <c r="Q92" s="24"/>
      <c r="R92" s="24"/>
      <c r="S92" s="24"/>
      <c r="T92" s="24"/>
      <c r="U92" s="24" t="s">
        <v>410</v>
      </c>
      <c r="V92" s="24" t="s">
        <v>261</v>
      </c>
    </row>
    <row r="93" spans="3:22" x14ac:dyDescent="0.25">
      <c r="E93" s="24"/>
      <c r="F93" s="2" t="s">
        <v>228</v>
      </c>
      <c r="G93" s="1" t="s">
        <v>201</v>
      </c>
      <c r="H93" s="1" t="s">
        <v>187</v>
      </c>
      <c r="I93" s="24"/>
      <c r="J93" s="24"/>
      <c r="K93" s="24"/>
      <c r="L93" s="24"/>
      <c r="M93" s="24"/>
      <c r="N93" s="24"/>
      <c r="Q93" s="24"/>
      <c r="R93" s="24"/>
      <c r="S93" s="24"/>
      <c r="T93" s="24"/>
      <c r="U93" s="24" t="s">
        <v>411</v>
      </c>
      <c r="V93" s="24" t="s">
        <v>261</v>
      </c>
    </row>
    <row r="94" spans="3:22" x14ac:dyDescent="0.25">
      <c r="E94" s="24"/>
      <c r="F94" s="2" t="s">
        <v>228</v>
      </c>
      <c r="G94" s="1" t="s">
        <v>201</v>
      </c>
      <c r="H94" s="1" t="s">
        <v>267</v>
      </c>
      <c r="I94" s="24"/>
      <c r="J94" s="24"/>
      <c r="K94" s="24"/>
      <c r="L94" s="24"/>
      <c r="M94" s="24"/>
      <c r="N94" s="24"/>
      <c r="Q94" s="24"/>
      <c r="R94" s="24"/>
      <c r="S94" s="24"/>
      <c r="T94" s="24"/>
      <c r="U94" s="24" t="s">
        <v>412</v>
      </c>
      <c r="V94" s="24" t="s">
        <v>220</v>
      </c>
    </row>
    <row r="95" spans="3:22" x14ac:dyDescent="0.25">
      <c r="E95" s="24"/>
      <c r="F95" s="2" t="s">
        <v>228</v>
      </c>
      <c r="G95" s="1" t="s">
        <v>201</v>
      </c>
      <c r="H95" s="1" t="s">
        <v>188</v>
      </c>
      <c r="I95" s="24"/>
      <c r="J95" s="24"/>
      <c r="K95" s="24"/>
      <c r="L95" s="24"/>
      <c r="M95" s="24"/>
      <c r="N95" s="24"/>
      <c r="Q95" s="24"/>
      <c r="R95" s="24"/>
      <c r="S95" s="24"/>
      <c r="T95" s="24"/>
      <c r="U95" s="24" t="s">
        <v>413</v>
      </c>
      <c r="V95" s="24" t="s">
        <v>220</v>
      </c>
    </row>
    <row r="96" spans="3:22" x14ac:dyDescent="0.25">
      <c r="E96" s="24"/>
      <c r="F96" s="2" t="s">
        <v>228</v>
      </c>
      <c r="G96" s="1" t="s">
        <v>201</v>
      </c>
      <c r="H96" s="1" t="s">
        <v>278</v>
      </c>
      <c r="I96" s="24"/>
      <c r="J96" s="24"/>
      <c r="K96" s="24"/>
      <c r="L96" s="24"/>
      <c r="M96" s="24"/>
      <c r="N96" s="24"/>
      <c r="Q96" s="24"/>
      <c r="R96" s="24"/>
      <c r="S96" s="24"/>
      <c r="T96" s="24"/>
      <c r="U96" s="24" t="s">
        <v>414</v>
      </c>
      <c r="V96" s="24" t="s">
        <v>261</v>
      </c>
    </row>
    <row r="97" spans="6:22" x14ac:dyDescent="0.25">
      <c r="F97" s="2" t="s">
        <v>228</v>
      </c>
      <c r="G97" s="1" t="s">
        <v>201</v>
      </c>
      <c r="H97" s="1" t="s">
        <v>283</v>
      </c>
      <c r="I97" s="24"/>
      <c r="J97" s="24"/>
      <c r="K97" s="24"/>
      <c r="L97" s="24"/>
      <c r="M97" s="24"/>
      <c r="N97" s="24"/>
      <c r="Q97" s="24"/>
      <c r="R97" s="24"/>
      <c r="S97" s="24"/>
      <c r="T97" s="24"/>
      <c r="U97" s="24" t="s">
        <v>415</v>
      </c>
      <c r="V97" s="24" t="s">
        <v>208</v>
      </c>
    </row>
    <row r="98" spans="6:22" x14ac:dyDescent="0.25">
      <c r="F98" s="2" t="s">
        <v>228</v>
      </c>
      <c r="G98" s="1" t="s">
        <v>201</v>
      </c>
      <c r="H98" s="1" t="s">
        <v>162</v>
      </c>
      <c r="I98" s="24"/>
      <c r="J98" s="24"/>
      <c r="K98" s="24"/>
      <c r="L98" s="24"/>
      <c r="M98" s="24"/>
      <c r="N98" s="24"/>
      <c r="Q98" s="24"/>
      <c r="R98" s="24"/>
      <c r="S98" s="24"/>
      <c r="T98" s="24"/>
      <c r="U98" s="24" t="s">
        <v>416</v>
      </c>
      <c r="V98" s="24" t="s">
        <v>208</v>
      </c>
    </row>
    <row r="99" spans="6:22" x14ac:dyDescent="0.25">
      <c r="F99" s="2" t="s">
        <v>228</v>
      </c>
      <c r="G99" s="1" t="s">
        <v>201</v>
      </c>
      <c r="H99" s="1" t="s">
        <v>193</v>
      </c>
      <c r="I99" s="24"/>
      <c r="J99" s="24"/>
      <c r="K99" s="24"/>
      <c r="L99" s="24"/>
      <c r="M99" s="24"/>
      <c r="N99" s="24"/>
      <c r="Q99" s="24"/>
      <c r="R99" s="24"/>
      <c r="S99" s="24"/>
      <c r="T99" s="24"/>
      <c r="U99" s="24" t="s">
        <v>417</v>
      </c>
      <c r="V99" s="24" t="s">
        <v>234</v>
      </c>
    </row>
    <row r="100" spans="6:22" x14ac:dyDescent="0.25">
      <c r="F100" s="2" t="s">
        <v>228</v>
      </c>
      <c r="G100" s="1" t="s">
        <v>201</v>
      </c>
      <c r="H100" s="1" t="s">
        <v>293</v>
      </c>
      <c r="I100" s="24"/>
      <c r="J100" s="24"/>
      <c r="K100" s="24"/>
      <c r="L100" s="24"/>
      <c r="M100" s="24"/>
      <c r="N100" s="24"/>
      <c r="Q100" s="24"/>
      <c r="R100" s="24"/>
      <c r="S100" s="24"/>
      <c r="T100" s="24"/>
      <c r="U100" s="24" t="s">
        <v>418</v>
      </c>
      <c r="V100" s="24" t="s">
        <v>234</v>
      </c>
    </row>
    <row r="101" spans="6:22" x14ac:dyDescent="0.25">
      <c r="F101" s="2" t="s">
        <v>228</v>
      </c>
      <c r="G101" s="1" t="s">
        <v>273</v>
      </c>
      <c r="H101" s="8" t="s">
        <v>273</v>
      </c>
      <c r="I101" s="24"/>
      <c r="J101" s="24"/>
      <c r="K101" s="24"/>
      <c r="L101" s="24"/>
      <c r="M101" s="24"/>
      <c r="N101" s="24"/>
      <c r="Q101" s="24"/>
      <c r="R101" s="24"/>
      <c r="S101" s="24"/>
      <c r="T101" s="24"/>
      <c r="U101" s="24" t="s">
        <v>419</v>
      </c>
      <c r="V101" s="24" t="s">
        <v>234</v>
      </c>
    </row>
    <row r="102" spans="6:22" x14ac:dyDescent="0.25">
      <c r="F102" s="2" t="s">
        <v>228</v>
      </c>
      <c r="G102" s="1" t="s">
        <v>25</v>
      </c>
      <c r="H102" s="1" t="s">
        <v>65</v>
      </c>
      <c r="I102" s="24"/>
      <c r="J102" s="24"/>
      <c r="K102" s="24"/>
      <c r="L102" s="24"/>
      <c r="M102" s="24"/>
      <c r="N102" s="24"/>
      <c r="Q102" s="24"/>
      <c r="R102" s="24"/>
      <c r="S102" s="24"/>
      <c r="T102" s="24"/>
      <c r="U102" s="24" t="s">
        <v>420</v>
      </c>
      <c r="V102" s="24" t="s">
        <v>261</v>
      </c>
    </row>
    <row r="103" spans="6:22" x14ac:dyDescent="0.25">
      <c r="F103" s="2" t="s">
        <v>228</v>
      </c>
      <c r="G103" s="1" t="s">
        <v>111</v>
      </c>
      <c r="H103" s="1" t="s">
        <v>112</v>
      </c>
      <c r="I103" s="24"/>
      <c r="J103" s="24"/>
      <c r="K103" s="24"/>
      <c r="L103" s="24"/>
      <c r="M103" s="24"/>
      <c r="N103" s="24"/>
      <c r="Q103" s="24"/>
      <c r="R103" s="24"/>
      <c r="S103" s="24"/>
      <c r="T103" s="24"/>
      <c r="U103" s="24" t="s">
        <v>421</v>
      </c>
      <c r="V103" s="24" t="s">
        <v>234</v>
      </c>
    </row>
    <row r="104" spans="6:22" x14ac:dyDescent="0.25">
      <c r="F104" s="2" t="s">
        <v>228</v>
      </c>
      <c r="G104" s="1" t="s">
        <v>67</v>
      </c>
      <c r="H104" s="1" t="s">
        <v>67</v>
      </c>
      <c r="I104" s="24"/>
      <c r="J104" s="24"/>
      <c r="K104" s="24"/>
      <c r="L104" s="24"/>
      <c r="M104" s="24"/>
      <c r="N104" s="24"/>
      <c r="Q104" s="24"/>
      <c r="R104" s="24"/>
      <c r="S104" s="24"/>
      <c r="T104" s="24"/>
      <c r="U104" s="24" t="s">
        <v>422</v>
      </c>
      <c r="V104" s="24" t="s">
        <v>208</v>
      </c>
    </row>
    <row r="105" spans="6:22" x14ac:dyDescent="0.25">
      <c r="F105" s="2" t="s">
        <v>228</v>
      </c>
      <c r="G105" s="1" t="s">
        <v>30</v>
      </c>
      <c r="H105" s="1" t="s">
        <v>31</v>
      </c>
      <c r="I105" s="24"/>
      <c r="J105" s="24"/>
      <c r="K105" s="24"/>
      <c r="L105" s="24"/>
      <c r="M105" s="24"/>
      <c r="N105" s="24"/>
      <c r="Q105" s="24"/>
      <c r="R105" s="24"/>
      <c r="S105" s="24"/>
      <c r="T105" s="24"/>
      <c r="U105" s="24" t="s">
        <v>423</v>
      </c>
      <c r="V105" s="24" t="s">
        <v>241</v>
      </c>
    </row>
    <row r="106" spans="6:22" x14ac:dyDescent="0.25">
      <c r="F106" s="2" t="s">
        <v>228</v>
      </c>
      <c r="G106" s="1" t="s">
        <v>30</v>
      </c>
      <c r="H106" s="1" t="s">
        <v>33</v>
      </c>
      <c r="I106" s="24"/>
      <c r="J106" s="24"/>
      <c r="K106" s="24"/>
      <c r="L106" s="24"/>
      <c r="M106" s="24"/>
      <c r="N106" s="24"/>
      <c r="Q106" s="24"/>
      <c r="R106" s="24"/>
      <c r="S106" s="24"/>
      <c r="T106" s="24"/>
      <c r="U106" s="24" t="s">
        <v>424</v>
      </c>
      <c r="V106" s="24" t="s">
        <v>234</v>
      </c>
    </row>
    <row r="107" spans="6:22" x14ac:dyDescent="0.25">
      <c r="F107" s="2" t="s">
        <v>228</v>
      </c>
      <c r="G107" s="1" t="s">
        <v>30</v>
      </c>
      <c r="H107" s="1" t="s">
        <v>35</v>
      </c>
      <c r="I107" s="24"/>
      <c r="J107" s="24"/>
      <c r="K107" s="24"/>
      <c r="L107" s="24"/>
      <c r="M107" s="24"/>
      <c r="N107" s="24"/>
      <c r="Q107" s="24"/>
      <c r="R107" s="24"/>
      <c r="S107" s="24"/>
      <c r="T107" s="24"/>
      <c r="U107" s="24" t="s">
        <v>425</v>
      </c>
      <c r="V107" s="24" t="s">
        <v>208</v>
      </c>
    </row>
    <row r="108" spans="6:22" x14ac:dyDescent="0.25">
      <c r="F108" s="2" t="s">
        <v>228</v>
      </c>
      <c r="G108" s="1" t="s">
        <v>30</v>
      </c>
      <c r="H108" s="1" t="s">
        <v>312</v>
      </c>
      <c r="I108" s="24"/>
      <c r="J108" s="24"/>
      <c r="K108" s="24"/>
      <c r="L108" s="24"/>
      <c r="M108" s="24"/>
      <c r="N108" s="24"/>
      <c r="Q108" s="24"/>
      <c r="R108" s="24"/>
      <c r="S108" s="24"/>
      <c r="T108" s="24"/>
      <c r="U108" s="24" t="s">
        <v>426</v>
      </c>
      <c r="V108" s="24" t="s">
        <v>311</v>
      </c>
    </row>
    <row r="109" spans="6:22" x14ac:dyDescent="0.25">
      <c r="F109" s="2" t="s">
        <v>228</v>
      </c>
      <c r="G109" s="1" t="s">
        <v>70</v>
      </c>
      <c r="H109" s="1" t="s">
        <v>115</v>
      </c>
      <c r="I109" s="24"/>
      <c r="J109" s="24"/>
      <c r="K109" s="24"/>
      <c r="L109" s="24"/>
      <c r="M109" s="24"/>
      <c r="N109" s="24"/>
      <c r="Q109" s="24"/>
      <c r="R109" s="24"/>
      <c r="S109" s="24"/>
      <c r="T109" s="24"/>
      <c r="U109" s="24" t="s">
        <v>427</v>
      </c>
      <c r="V109" s="24" t="s">
        <v>208</v>
      </c>
    </row>
    <row r="110" spans="6:22" x14ac:dyDescent="0.25">
      <c r="F110" s="2" t="s">
        <v>228</v>
      </c>
      <c r="G110" s="1" t="s">
        <v>70</v>
      </c>
      <c r="H110" s="1" t="s">
        <v>73</v>
      </c>
      <c r="I110" s="24"/>
      <c r="J110" s="24"/>
      <c r="K110" s="24"/>
      <c r="L110" s="24"/>
      <c r="M110" s="24"/>
      <c r="N110" s="24"/>
      <c r="Q110" s="24"/>
      <c r="R110" s="24"/>
      <c r="S110" s="24"/>
      <c r="T110" s="24"/>
      <c r="U110" s="24" t="s">
        <v>428</v>
      </c>
      <c r="V110" s="24" t="s">
        <v>220</v>
      </c>
    </row>
    <row r="111" spans="6:22" x14ac:dyDescent="0.25">
      <c r="F111" s="2" t="s">
        <v>228</v>
      </c>
      <c r="G111" s="1" t="s">
        <v>292</v>
      </c>
      <c r="H111" s="1" t="s">
        <v>375</v>
      </c>
      <c r="I111" s="24"/>
      <c r="J111" s="24"/>
      <c r="K111" s="24"/>
      <c r="L111" s="24"/>
      <c r="M111" s="24"/>
      <c r="N111" s="24"/>
      <c r="Q111" s="24"/>
      <c r="R111" s="24"/>
      <c r="S111" s="24"/>
      <c r="T111" s="24"/>
      <c r="U111" s="24" t="s">
        <v>429</v>
      </c>
      <c r="V111" s="24" t="s">
        <v>220</v>
      </c>
    </row>
    <row r="112" spans="6:22" x14ac:dyDescent="0.25">
      <c r="F112" s="2" t="s">
        <v>228</v>
      </c>
      <c r="G112" s="1" t="s">
        <v>77</v>
      </c>
      <c r="H112" s="1" t="s">
        <v>380</v>
      </c>
      <c r="I112" s="24"/>
      <c r="J112" s="24"/>
      <c r="K112" s="24"/>
      <c r="L112" s="24"/>
      <c r="M112" s="24"/>
      <c r="N112" s="24"/>
      <c r="Q112" s="24"/>
      <c r="R112" s="24"/>
      <c r="S112" s="24"/>
      <c r="T112" s="24"/>
      <c r="U112" s="24" t="s">
        <v>430</v>
      </c>
      <c r="V112" s="24" t="s">
        <v>261</v>
      </c>
    </row>
    <row r="113" spans="6:22" x14ac:dyDescent="0.25">
      <c r="F113" s="2" t="s">
        <v>228</v>
      </c>
      <c r="G113" s="1" t="s">
        <v>77</v>
      </c>
      <c r="H113" s="1" t="s">
        <v>382</v>
      </c>
      <c r="I113" s="24"/>
      <c r="J113" s="24"/>
      <c r="K113" s="24"/>
      <c r="L113" s="24"/>
      <c r="M113" s="24"/>
      <c r="N113" s="24"/>
      <c r="Q113" s="24"/>
      <c r="R113" s="24"/>
      <c r="S113" s="24"/>
      <c r="T113" s="24"/>
      <c r="U113" s="24" t="s">
        <v>431</v>
      </c>
      <c r="V113" s="24" t="s">
        <v>208</v>
      </c>
    </row>
    <row r="114" spans="6:22" x14ac:dyDescent="0.25">
      <c r="F114" s="2" t="s">
        <v>228</v>
      </c>
      <c r="G114" s="1" t="s">
        <v>77</v>
      </c>
      <c r="H114" s="1" t="s">
        <v>384</v>
      </c>
      <c r="I114" s="24"/>
      <c r="J114" s="24"/>
      <c r="K114" s="24"/>
      <c r="L114" s="24"/>
      <c r="M114" s="24"/>
      <c r="N114" s="24"/>
      <c r="Q114" s="24"/>
      <c r="R114" s="24"/>
      <c r="S114" s="24"/>
      <c r="T114" s="24"/>
      <c r="U114" s="24" t="s">
        <v>432</v>
      </c>
      <c r="V114" s="24" t="s">
        <v>208</v>
      </c>
    </row>
    <row r="115" spans="6:22" x14ac:dyDescent="0.25">
      <c r="F115" s="2" t="s">
        <v>228</v>
      </c>
      <c r="G115" s="1" t="s">
        <v>77</v>
      </c>
      <c r="H115" s="1" t="s">
        <v>386</v>
      </c>
      <c r="I115" s="24"/>
      <c r="J115" s="24"/>
      <c r="K115" s="24"/>
      <c r="L115" s="24"/>
      <c r="M115" s="24"/>
      <c r="N115" s="24"/>
      <c r="Q115" s="24"/>
      <c r="R115" s="24"/>
      <c r="S115" s="24"/>
      <c r="T115" s="24"/>
      <c r="U115" s="24" t="s">
        <v>433</v>
      </c>
      <c r="V115" s="24" t="s">
        <v>208</v>
      </c>
    </row>
    <row r="116" spans="6:22" x14ac:dyDescent="0.25">
      <c r="F116" s="2" t="s">
        <v>228</v>
      </c>
      <c r="G116" s="1" t="s">
        <v>42</v>
      </c>
      <c r="H116" s="1" t="s">
        <v>42</v>
      </c>
      <c r="I116" s="24"/>
      <c r="J116" s="24"/>
      <c r="K116" s="24"/>
      <c r="L116" s="24"/>
      <c r="M116" s="24"/>
      <c r="N116" s="24"/>
      <c r="Q116" s="24"/>
      <c r="R116" s="24"/>
      <c r="S116" s="24"/>
      <c r="T116" s="24"/>
      <c r="U116" s="24" t="s">
        <v>434</v>
      </c>
      <c r="V116" s="24" t="s">
        <v>335</v>
      </c>
    </row>
    <row r="117" spans="6:22" x14ac:dyDescent="0.25">
      <c r="F117" s="42" t="s">
        <v>228</v>
      </c>
      <c r="G117" s="41" t="s">
        <v>57</v>
      </c>
      <c r="H117" s="41" t="s">
        <v>57</v>
      </c>
      <c r="I117" s="24"/>
      <c r="J117" s="24"/>
      <c r="K117" s="24"/>
      <c r="L117" s="24"/>
      <c r="M117" s="24"/>
      <c r="N117" s="24"/>
      <c r="Q117" s="24"/>
      <c r="R117" s="24"/>
      <c r="S117" s="24"/>
      <c r="T117" s="24"/>
      <c r="U117" s="24" t="s">
        <v>435</v>
      </c>
      <c r="V117" s="24" t="s">
        <v>208</v>
      </c>
    </row>
    <row r="118" spans="6:22" x14ac:dyDescent="0.25">
      <c r="F118" s="2" t="s">
        <v>214</v>
      </c>
      <c r="G118" s="1" t="s">
        <v>201</v>
      </c>
      <c r="H118" s="1" t="s">
        <v>202</v>
      </c>
      <c r="I118" s="24"/>
      <c r="J118" s="24"/>
      <c r="K118" s="24"/>
      <c r="L118" s="24"/>
      <c r="M118" s="24"/>
      <c r="N118" s="24"/>
      <c r="Q118" s="24"/>
      <c r="R118" s="24"/>
      <c r="S118" s="24"/>
      <c r="T118" s="24"/>
      <c r="U118" s="24" t="s">
        <v>436</v>
      </c>
      <c r="V118" s="24" t="s">
        <v>208</v>
      </c>
    </row>
    <row r="119" spans="6:22" x14ac:dyDescent="0.25">
      <c r="F119" s="2" t="s">
        <v>214</v>
      </c>
      <c r="G119" s="8" t="s">
        <v>201</v>
      </c>
      <c r="H119" s="8" t="s">
        <v>210</v>
      </c>
      <c r="I119" s="24"/>
      <c r="J119" s="24"/>
      <c r="K119" s="24"/>
      <c r="L119" s="24"/>
      <c r="M119" s="24"/>
      <c r="N119" s="24"/>
      <c r="Q119" s="24"/>
      <c r="R119" s="24"/>
      <c r="S119" s="24"/>
      <c r="T119" s="24"/>
      <c r="U119" s="24" t="s">
        <v>437</v>
      </c>
      <c r="V119" s="24" t="s">
        <v>261</v>
      </c>
    </row>
    <row r="120" spans="6:22" x14ac:dyDescent="0.25">
      <c r="F120" s="2" t="s">
        <v>214</v>
      </c>
      <c r="G120" s="8" t="s">
        <v>201</v>
      </c>
      <c r="H120" s="8" t="s">
        <v>215</v>
      </c>
      <c r="I120" s="24"/>
      <c r="J120" s="24"/>
      <c r="K120" s="24"/>
      <c r="L120" s="24"/>
      <c r="M120" s="24"/>
      <c r="N120" s="24"/>
      <c r="Q120" s="24"/>
      <c r="R120" s="24"/>
      <c r="S120" s="24"/>
      <c r="T120" s="24"/>
      <c r="U120" s="24" t="s">
        <v>438</v>
      </c>
      <c r="V120" s="24" t="s">
        <v>335</v>
      </c>
    </row>
    <row r="121" spans="6:22" x14ac:dyDescent="0.25">
      <c r="F121" s="2" t="s">
        <v>214</v>
      </c>
      <c r="G121" s="1" t="s">
        <v>201</v>
      </c>
      <c r="H121" s="1" t="s">
        <v>176</v>
      </c>
      <c r="I121" s="24"/>
      <c r="J121" s="24"/>
      <c r="K121" s="24"/>
      <c r="L121" s="24"/>
      <c r="M121" s="24"/>
      <c r="N121" s="24"/>
      <c r="Q121" s="24"/>
      <c r="R121" s="24"/>
      <c r="S121" s="24"/>
      <c r="T121" s="24"/>
      <c r="U121" s="24" t="s">
        <v>439</v>
      </c>
      <c r="V121" s="24" t="s">
        <v>311</v>
      </c>
    </row>
    <row r="122" spans="6:22" x14ac:dyDescent="0.25">
      <c r="F122" s="2" t="s">
        <v>214</v>
      </c>
      <c r="G122" s="1" t="s">
        <v>201</v>
      </c>
      <c r="H122" s="1" t="s">
        <v>229</v>
      </c>
      <c r="I122" s="24"/>
      <c r="J122" s="24"/>
      <c r="K122" s="24"/>
      <c r="L122" s="24"/>
      <c r="M122" s="24"/>
      <c r="N122" s="24"/>
      <c r="Q122" s="24"/>
      <c r="R122" s="24"/>
      <c r="S122" s="24"/>
      <c r="T122" s="24"/>
      <c r="U122" s="24" t="s">
        <v>440</v>
      </c>
      <c r="V122" s="24" t="s">
        <v>234</v>
      </c>
    </row>
    <row r="123" spans="6:22" x14ac:dyDescent="0.25">
      <c r="F123" s="2" t="s">
        <v>214</v>
      </c>
      <c r="G123" s="1" t="s">
        <v>201</v>
      </c>
      <c r="H123" s="1" t="s">
        <v>179</v>
      </c>
      <c r="I123" s="24"/>
      <c r="J123" s="24"/>
      <c r="K123" s="24"/>
      <c r="L123" s="24"/>
      <c r="M123" s="24"/>
      <c r="N123" s="24"/>
      <c r="Q123" s="24"/>
      <c r="R123" s="24"/>
      <c r="S123" s="24"/>
      <c r="T123" s="24"/>
      <c r="U123" s="24"/>
      <c r="V123" s="24"/>
    </row>
    <row r="124" spans="6:22" x14ac:dyDescent="0.25">
      <c r="F124" s="2" t="s">
        <v>214</v>
      </c>
      <c r="G124" s="1" t="s">
        <v>201</v>
      </c>
      <c r="H124" s="1" t="s">
        <v>180</v>
      </c>
      <c r="I124" s="24"/>
      <c r="J124" s="24"/>
      <c r="K124" s="24"/>
      <c r="L124" s="24"/>
      <c r="M124" s="24"/>
      <c r="N124" s="24"/>
      <c r="Q124" s="24"/>
      <c r="R124" s="24"/>
      <c r="S124" s="24"/>
      <c r="T124" s="24"/>
      <c r="U124" s="24"/>
      <c r="V124" s="24"/>
    </row>
    <row r="125" spans="6:22" x14ac:dyDescent="0.25">
      <c r="F125" s="2" t="s">
        <v>214</v>
      </c>
      <c r="G125" s="1" t="s">
        <v>201</v>
      </c>
      <c r="H125" s="1" t="s">
        <v>182</v>
      </c>
      <c r="I125" s="24"/>
      <c r="J125" s="24"/>
      <c r="K125" s="24"/>
      <c r="L125" s="24"/>
      <c r="M125" s="24"/>
      <c r="N125" s="24"/>
      <c r="Q125" s="24"/>
      <c r="R125" s="24"/>
      <c r="S125" s="24"/>
      <c r="T125" s="24"/>
      <c r="U125" s="24"/>
      <c r="V125" s="24"/>
    </row>
    <row r="126" spans="6:22" x14ac:dyDescent="0.25">
      <c r="F126" s="2" t="s">
        <v>214</v>
      </c>
      <c r="G126" s="1" t="s">
        <v>201</v>
      </c>
      <c r="H126" s="1" t="s">
        <v>184</v>
      </c>
      <c r="I126" s="24"/>
      <c r="J126" s="24"/>
      <c r="K126" s="24"/>
      <c r="L126" s="24"/>
      <c r="M126" s="24"/>
      <c r="N126" s="24"/>
      <c r="Q126" s="24"/>
      <c r="R126" s="24"/>
      <c r="S126" s="24"/>
      <c r="T126" s="24"/>
      <c r="U126" s="24"/>
      <c r="V126" s="24"/>
    </row>
    <row r="127" spans="6:22" x14ac:dyDescent="0.25">
      <c r="F127" s="2" t="s">
        <v>214</v>
      </c>
      <c r="G127" s="1" t="s">
        <v>201</v>
      </c>
      <c r="H127" s="1" t="s">
        <v>256</v>
      </c>
      <c r="I127" s="24"/>
      <c r="J127" s="24"/>
      <c r="K127" s="24"/>
      <c r="L127" s="24"/>
      <c r="M127" s="24"/>
      <c r="N127" s="24"/>
      <c r="Q127" s="24"/>
      <c r="R127" s="24"/>
      <c r="S127" s="24"/>
      <c r="T127" s="24"/>
      <c r="U127" s="24"/>
      <c r="V127" s="24"/>
    </row>
    <row r="128" spans="6:22" x14ac:dyDescent="0.25">
      <c r="F128" s="2" t="s">
        <v>214</v>
      </c>
      <c r="G128" s="1" t="s">
        <v>201</v>
      </c>
      <c r="H128" s="1" t="s">
        <v>187</v>
      </c>
      <c r="I128" s="24"/>
      <c r="J128" s="24"/>
      <c r="K128" s="24"/>
      <c r="L128" s="24"/>
      <c r="M128" s="24"/>
      <c r="N128" s="24"/>
      <c r="Q128" s="24"/>
      <c r="R128" s="24"/>
      <c r="S128" s="24"/>
      <c r="T128" s="24"/>
      <c r="U128" s="24"/>
      <c r="V128" s="24"/>
    </row>
    <row r="129" spans="6:8" x14ac:dyDescent="0.25">
      <c r="F129" s="2" t="s">
        <v>214</v>
      </c>
      <c r="G129" s="1" t="s">
        <v>201</v>
      </c>
      <c r="H129" s="1" t="s">
        <v>267</v>
      </c>
    </row>
    <row r="130" spans="6:8" x14ac:dyDescent="0.25">
      <c r="F130" s="2" t="s">
        <v>214</v>
      </c>
      <c r="G130" s="1" t="s">
        <v>201</v>
      </c>
      <c r="H130" s="1" t="s">
        <v>188</v>
      </c>
    </row>
    <row r="131" spans="6:8" x14ac:dyDescent="0.25">
      <c r="F131" s="2" t="s">
        <v>214</v>
      </c>
      <c r="G131" s="1" t="s">
        <v>201</v>
      </c>
      <c r="H131" s="1" t="s">
        <v>278</v>
      </c>
    </row>
    <row r="132" spans="6:8" x14ac:dyDescent="0.25">
      <c r="F132" s="2" t="s">
        <v>214</v>
      </c>
      <c r="G132" s="1" t="s">
        <v>201</v>
      </c>
      <c r="H132" s="1" t="s">
        <v>283</v>
      </c>
    </row>
    <row r="133" spans="6:8" x14ac:dyDescent="0.25">
      <c r="F133" s="2" t="s">
        <v>214</v>
      </c>
      <c r="G133" s="1" t="s">
        <v>201</v>
      </c>
      <c r="H133" s="1" t="s">
        <v>162</v>
      </c>
    </row>
    <row r="134" spans="6:8" x14ac:dyDescent="0.25">
      <c r="F134" s="2" t="s">
        <v>214</v>
      </c>
      <c r="G134" s="1" t="s">
        <v>201</v>
      </c>
      <c r="H134" s="1" t="s">
        <v>193</v>
      </c>
    </row>
    <row r="135" spans="6:8" x14ac:dyDescent="0.25">
      <c r="F135" s="2" t="s">
        <v>214</v>
      </c>
      <c r="G135" s="1" t="s">
        <v>201</v>
      </c>
      <c r="H135" s="1" t="s">
        <v>293</v>
      </c>
    </row>
    <row r="136" spans="6:8" x14ac:dyDescent="0.25">
      <c r="F136" s="2" t="s">
        <v>214</v>
      </c>
      <c r="G136" s="1" t="s">
        <v>111</v>
      </c>
      <c r="H136" s="1" t="s">
        <v>112</v>
      </c>
    </row>
    <row r="137" spans="6:8" x14ac:dyDescent="0.25">
      <c r="F137" s="2" t="s">
        <v>214</v>
      </c>
      <c r="G137" s="1" t="s">
        <v>30</v>
      </c>
      <c r="H137" s="1" t="s">
        <v>31</v>
      </c>
    </row>
    <row r="138" spans="6:8" x14ac:dyDescent="0.25">
      <c r="F138" s="2" t="s">
        <v>214</v>
      </c>
      <c r="G138" s="1" t="s">
        <v>30</v>
      </c>
      <c r="H138" s="1" t="s">
        <v>33</v>
      </c>
    </row>
    <row r="139" spans="6:8" x14ac:dyDescent="0.25">
      <c r="F139" s="2" t="s">
        <v>214</v>
      </c>
      <c r="G139" s="1" t="s">
        <v>30</v>
      </c>
      <c r="H139" s="1" t="s">
        <v>35</v>
      </c>
    </row>
    <row r="140" spans="6:8" x14ac:dyDescent="0.25">
      <c r="F140" s="2" t="s">
        <v>214</v>
      </c>
      <c r="G140" s="1" t="s">
        <v>30</v>
      </c>
      <c r="H140" s="1" t="s">
        <v>312</v>
      </c>
    </row>
    <row r="141" spans="6:8" x14ac:dyDescent="0.25">
      <c r="F141" s="2" t="s">
        <v>214</v>
      </c>
      <c r="G141" s="1" t="s">
        <v>70</v>
      </c>
      <c r="H141" s="1" t="s">
        <v>115</v>
      </c>
    </row>
    <row r="142" spans="6:8" x14ac:dyDescent="0.25">
      <c r="F142" s="2" t="s">
        <v>214</v>
      </c>
      <c r="G142" s="1" t="s">
        <v>70</v>
      </c>
      <c r="H142" s="1" t="s">
        <v>73</v>
      </c>
    </row>
    <row r="143" spans="6:8" x14ac:dyDescent="0.25">
      <c r="F143" s="2" t="s">
        <v>214</v>
      </c>
      <c r="G143" s="1" t="s">
        <v>77</v>
      </c>
      <c r="H143" s="1" t="s">
        <v>380</v>
      </c>
    </row>
    <row r="144" spans="6:8" x14ac:dyDescent="0.25">
      <c r="F144" s="2" t="s">
        <v>214</v>
      </c>
      <c r="G144" s="1" t="s">
        <v>77</v>
      </c>
      <c r="H144" s="1" t="s">
        <v>382</v>
      </c>
    </row>
    <row r="145" spans="6:8" x14ac:dyDescent="0.25">
      <c r="F145" s="2" t="s">
        <v>214</v>
      </c>
      <c r="G145" s="1" t="s">
        <v>77</v>
      </c>
      <c r="H145" s="1" t="s">
        <v>384</v>
      </c>
    </row>
    <row r="146" spans="6:8" x14ac:dyDescent="0.25">
      <c r="F146" s="2" t="s">
        <v>214</v>
      </c>
      <c r="G146" s="1" t="s">
        <v>77</v>
      </c>
      <c r="H146" s="1" t="s">
        <v>386</v>
      </c>
    </row>
    <row r="147" spans="6:8" x14ac:dyDescent="0.25">
      <c r="F147" s="2" t="s">
        <v>214</v>
      </c>
      <c r="G147" s="1" t="s">
        <v>42</v>
      </c>
      <c r="H147" s="1" t="s">
        <v>42</v>
      </c>
    </row>
    <row r="148" spans="6:8" x14ac:dyDescent="0.25">
      <c r="F148" s="2" t="s">
        <v>214</v>
      </c>
      <c r="G148" s="1" t="s">
        <v>51</v>
      </c>
      <c r="H148" s="1" t="s">
        <v>93</v>
      </c>
    </row>
    <row r="149" spans="6:8" x14ac:dyDescent="0.25">
      <c r="F149" s="42" t="s">
        <v>214</v>
      </c>
      <c r="G149" s="41" t="s">
        <v>57</v>
      </c>
      <c r="H149" s="41" t="s">
        <v>57</v>
      </c>
    </row>
    <row r="150" spans="6:8" x14ac:dyDescent="0.25">
      <c r="F150" s="2" t="s">
        <v>209</v>
      </c>
      <c r="G150" s="1" t="s">
        <v>201</v>
      </c>
      <c r="H150" s="1" t="s">
        <v>202</v>
      </c>
    </row>
    <row r="151" spans="6:8" x14ac:dyDescent="0.25">
      <c r="F151" s="2" t="s">
        <v>209</v>
      </c>
      <c r="G151" s="8" t="s">
        <v>201</v>
      </c>
      <c r="H151" s="8" t="s">
        <v>210</v>
      </c>
    </row>
    <row r="152" spans="6:8" x14ac:dyDescent="0.25">
      <c r="F152" s="2" t="s">
        <v>209</v>
      </c>
      <c r="G152" s="8" t="s">
        <v>201</v>
      </c>
      <c r="H152" s="8" t="s">
        <v>215</v>
      </c>
    </row>
    <row r="153" spans="6:8" x14ac:dyDescent="0.25">
      <c r="F153" s="2" t="s">
        <v>209</v>
      </c>
      <c r="G153" s="1" t="s">
        <v>201</v>
      </c>
      <c r="H153" s="1" t="s">
        <v>176</v>
      </c>
    </row>
    <row r="154" spans="6:8" x14ac:dyDescent="0.25">
      <c r="F154" s="2" t="s">
        <v>209</v>
      </c>
      <c r="G154" s="1" t="s">
        <v>201</v>
      </c>
      <c r="H154" s="1" t="s">
        <v>229</v>
      </c>
    </row>
    <row r="155" spans="6:8" x14ac:dyDescent="0.25">
      <c r="F155" s="2" t="s">
        <v>209</v>
      </c>
      <c r="G155" s="1" t="s">
        <v>201</v>
      </c>
      <c r="H155" s="1" t="s">
        <v>179</v>
      </c>
    </row>
    <row r="156" spans="6:8" x14ac:dyDescent="0.25">
      <c r="F156" s="2" t="s">
        <v>209</v>
      </c>
      <c r="G156" s="1" t="s">
        <v>201</v>
      </c>
      <c r="H156" s="1" t="s">
        <v>180</v>
      </c>
    </row>
    <row r="157" spans="6:8" x14ac:dyDescent="0.25">
      <c r="F157" s="2" t="s">
        <v>209</v>
      </c>
      <c r="G157" s="1" t="s">
        <v>201</v>
      </c>
      <c r="H157" s="1" t="s">
        <v>182</v>
      </c>
    </row>
    <row r="158" spans="6:8" x14ac:dyDescent="0.25">
      <c r="F158" s="2" t="s">
        <v>209</v>
      </c>
      <c r="G158" s="1" t="s">
        <v>201</v>
      </c>
      <c r="H158" s="1" t="s">
        <v>184</v>
      </c>
    </row>
    <row r="159" spans="6:8" x14ac:dyDescent="0.25">
      <c r="F159" s="2" t="s">
        <v>209</v>
      </c>
      <c r="G159" s="1" t="s">
        <v>201</v>
      </c>
      <c r="H159" s="1" t="s">
        <v>256</v>
      </c>
    </row>
    <row r="160" spans="6:8" x14ac:dyDescent="0.25">
      <c r="F160" s="2" t="s">
        <v>209</v>
      </c>
      <c r="G160" s="1" t="s">
        <v>201</v>
      </c>
      <c r="H160" s="1" t="s">
        <v>187</v>
      </c>
    </row>
    <row r="161" spans="6:8" x14ac:dyDescent="0.25">
      <c r="F161" s="2" t="s">
        <v>209</v>
      </c>
      <c r="G161" s="1" t="s">
        <v>201</v>
      </c>
      <c r="H161" s="1" t="s">
        <v>267</v>
      </c>
    </row>
    <row r="162" spans="6:8" x14ac:dyDescent="0.25">
      <c r="F162" s="2" t="s">
        <v>209</v>
      </c>
      <c r="G162" s="1" t="s">
        <v>201</v>
      </c>
      <c r="H162" s="1" t="s">
        <v>188</v>
      </c>
    </row>
    <row r="163" spans="6:8" x14ac:dyDescent="0.25">
      <c r="F163" s="2" t="s">
        <v>209</v>
      </c>
      <c r="G163" s="1" t="s">
        <v>201</v>
      </c>
      <c r="H163" s="1" t="s">
        <v>278</v>
      </c>
    </row>
    <row r="164" spans="6:8" x14ac:dyDescent="0.25">
      <c r="F164" s="2" t="s">
        <v>209</v>
      </c>
      <c r="G164" s="1" t="s">
        <v>201</v>
      </c>
      <c r="H164" s="1" t="s">
        <v>283</v>
      </c>
    </row>
    <row r="165" spans="6:8" x14ac:dyDescent="0.25">
      <c r="F165" s="2" t="s">
        <v>209</v>
      </c>
      <c r="G165" s="1" t="s">
        <v>201</v>
      </c>
      <c r="H165" s="1" t="s">
        <v>162</v>
      </c>
    </row>
    <row r="166" spans="6:8" x14ac:dyDescent="0.25">
      <c r="F166" s="2" t="s">
        <v>209</v>
      </c>
      <c r="G166" s="1" t="s">
        <v>201</v>
      </c>
      <c r="H166" s="1" t="s">
        <v>193</v>
      </c>
    </row>
    <row r="167" spans="6:8" x14ac:dyDescent="0.25">
      <c r="F167" s="2" t="s">
        <v>209</v>
      </c>
      <c r="G167" s="1" t="s">
        <v>201</v>
      </c>
      <c r="H167" s="1" t="s">
        <v>293</v>
      </c>
    </row>
    <row r="168" spans="6:8" x14ac:dyDescent="0.25">
      <c r="F168" s="2" t="s">
        <v>209</v>
      </c>
      <c r="G168" s="1" t="s">
        <v>30</v>
      </c>
      <c r="H168" s="1" t="s">
        <v>31</v>
      </c>
    </row>
    <row r="169" spans="6:8" x14ac:dyDescent="0.25">
      <c r="F169" s="2" t="s">
        <v>209</v>
      </c>
      <c r="G169" s="1" t="s">
        <v>30</v>
      </c>
      <c r="H169" s="1" t="s">
        <v>33</v>
      </c>
    </row>
    <row r="170" spans="6:8" x14ac:dyDescent="0.25">
      <c r="F170" s="2" t="s">
        <v>209</v>
      </c>
      <c r="G170" s="1" t="s">
        <v>30</v>
      </c>
      <c r="H170" s="1" t="s">
        <v>35</v>
      </c>
    </row>
    <row r="171" spans="6:8" x14ac:dyDescent="0.25">
      <c r="F171" s="2" t="s">
        <v>209</v>
      </c>
      <c r="G171" s="1" t="s">
        <v>30</v>
      </c>
      <c r="H171" s="1" t="s">
        <v>312</v>
      </c>
    </row>
    <row r="172" spans="6:8" x14ac:dyDescent="0.25">
      <c r="F172" s="2" t="s">
        <v>209</v>
      </c>
      <c r="G172" s="1" t="s">
        <v>70</v>
      </c>
      <c r="H172" s="1" t="s">
        <v>115</v>
      </c>
    </row>
    <row r="173" spans="6:8" x14ac:dyDescent="0.25">
      <c r="F173" s="2" t="s">
        <v>209</v>
      </c>
      <c r="G173" s="1" t="s">
        <v>70</v>
      </c>
      <c r="H173" s="1" t="s">
        <v>73</v>
      </c>
    </row>
    <row r="174" spans="6:8" x14ac:dyDescent="0.25">
      <c r="F174" s="2" t="s">
        <v>209</v>
      </c>
      <c r="G174" s="1" t="s">
        <v>77</v>
      </c>
      <c r="H174" s="1" t="s">
        <v>380</v>
      </c>
    </row>
    <row r="175" spans="6:8" x14ac:dyDescent="0.25">
      <c r="F175" s="2" t="s">
        <v>209</v>
      </c>
      <c r="G175" s="1" t="s">
        <v>77</v>
      </c>
      <c r="H175" s="1" t="s">
        <v>382</v>
      </c>
    </row>
    <row r="176" spans="6:8" x14ac:dyDescent="0.25">
      <c r="F176" s="2" t="s">
        <v>209</v>
      </c>
      <c r="G176" s="1" t="s">
        <v>77</v>
      </c>
      <c r="H176" s="1" t="s">
        <v>384</v>
      </c>
    </row>
    <row r="177" spans="6:8" x14ac:dyDescent="0.25">
      <c r="F177" s="2" t="s">
        <v>209</v>
      </c>
      <c r="G177" s="1" t="s">
        <v>77</v>
      </c>
      <c r="H177" s="1" t="s">
        <v>386</v>
      </c>
    </row>
    <row r="178" spans="6:8" x14ac:dyDescent="0.25">
      <c r="F178" s="2" t="s">
        <v>209</v>
      </c>
      <c r="G178" s="1" t="s">
        <v>42</v>
      </c>
      <c r="H178" s="1" t="s">
        <v>42</v>
      </c>
    </row>
    <row r="179" spans="6:8" x14ac:dyDescent="0.25">
      <c r="F179" s="42" t="s">
        <v>209</v>
      </c>
      <c r="G179" s="41" t="s">
        <v>57</v>
      </c>
      <c r="H179" s="41" t="s">
        <v>57</v>
      </c>
    </row>
    <row r="180" spans="6:8" x14ac:dyDescent="0.25">
      <c r="F180" s="2" t="s">
        <v>199</v>
      </c>
      <c r="G180" s="1" t="s">
        <v>201</v>
      </c>
      <c r="H180" s="1" t="s">
        <v>202</v>
      </c>
    </row>
    <row r="181" spans="6:8" x14ac:dyDescent="0.25">
      <c r="F181" s="2" t="s">
        <v>199</v>
      </c>
      <c r="G181" s="8" t="s">
        <v>201</v>
      </c>
      <c r="H181" s="8" t="s">
        <v>210</v>
      </c>
    </row>
    <row r="182" spans="6:8" x14ac:dyDescent="0.25">
      <c r="F182" s="2" t="s">
        <v>199</v>
      </c>
      <c r="G182" s="8" t="s">
        <v>201</v>
      </c>
      <c r="H182" s="8" t="s">
        <v>215</v>
      </c>
    </row>
    <row r="183" spans="6:8" x14ac:dyDescent="0.25">
      <c r="F183" s="2" t="s">
        <v>199</v>
      </c>
      <c r="G183" s="1" t="s">
        <v>201</v>
      </c>
      <c r="H183" s="1" t="s">
        <v>176</v>
      </c>
    </row>
    <row r="184" spans="6:8" x14ac:dyDescent="0.25">
      <c r="F184" s="2" t="s">
        <v>199</v>
      </c>
      <c r="G184" s="1" t="s">
        <v>201</v>
      </c>
      <c r="H184" s="1" t="s">
        <v>229</v>
      </c>
    </row>
    <row r="185" spans="6:8" x14ac:dyDescent="0.25">
      <c r="F185" s="2" t="s">
        <v>199</v>
      </c>
      <c r="G185" s="1" t="s">
        <v>201</v>
      </c>
      <c r="H185" s="1" t="s">
        <v>179</v>
      </c>
    </row>
    <row r="186" spans="6:8" x14ac:dyDescent="0.25">
      <c r="F186" s="2" t="s">
        <v>199</v>
      </c>
      <c r="G186" s="1" t="s">
        <v>201</v>
      </c>
      <c r="H186" s="1" t="s">
        <v>180</v>
      </c>
    </row>
    <row r="187" spans="6:8" x14ac:dyDescent="0.25">
      <c r="F187" s="2" t="s">
        <v>199</v>
      </c>
      <c r="G187" s="1" t="s">
        <v>201</v>
      </c>
      <c r="H187" s="1" t="s">
        <v>182</v>
      </c>
    </row>
    <row r="188" spans="6:8" x14ac:dyDescent="0.25">
      <c r="F188" s="2" t="s">
        <v>199</v>
      </c>
      <c r="G188" s="1" t="s">
        <v>201</v>
      </c>
      <c r="H188" s="1" t="s">
        <v>184</v>
      </c>
    </row>
    <row r="189" spans="6:8" x14ac:dyDescent="0.25">
      <c r="F189" s="2" t="s">
        <v>199</v>
      </c>
      <c r="G189" s="1" t="s">
        <v>201</v>
      </c>
      <c r="H189" s="1" t="s">
        <v>256</v>
      </c>
    </row>
    <row r="190" spans="6:8" x14ac:dyDescent="0.25">
      <c r="F190" s="2" t="s">
        <v>199</v>
      </c>
      <c r="G190" s="1" t="s">
        <v>201</v>
      </c>
      <c r="H190" s="1" t="s">
        <v>187</v>
      </c>
    </row>
    <row r="191" spans="6:8" x14ac:dyDescent="0.25">
      <c r="F191" s="2" t="s">
        <v>199</v>
      </c>
      <c r="G191" s="1" t="s">
        <v>201</v>
      </c>
      <c r="H191" s="1" t="s">
        <v>267</v>
      </c>
    </row>
    <row r="192" spans="6:8" x14ac:dyDescent="0.25">
      <c r="F192" s="2" t="s">
        <v>199</v>
      </c>
      <c r="G192" s="1" t="s">
        <v>201</v>
      </c>
      <c r="H192" s="1" t="s">
        <v>188</v>
      </c>
    </row>
    <row r="193" spans="6:8" x14ac:dyDescent="0.25">
      <c r="F193" s="2" t="s">
        <v>199</v>
      </c>
      <c r="G193" s="1" t="s">
        <v>201</v>
      </c>
      <c r="H193" s="1" t="s">
        <v>278</v>
      </c>
    </row>
    <row r="194" spans="6:8" x14ac:dyDescent="0.25">
      <c r="F194" s="2" t="s">
        <v>199</v>
      </c>
      <c r="G194" s="1" t="s">
        <v>201</v>
      </c>
      <c r="H194" s="1" t="s">
        <v>283</v>
      </c>
    </row>
    <row r="195" spans="6:8" x14ac:dyDescent="0.25">
      <c r="F195" s="2" t="s">
        <v>199</v>
      </c>
      <c r="G195" s="1" t="s">
        <v>201</v>
      </c>
      <c r="H195" s="1" t="s">
        <v>162</v>
      </c>
    </row>
    <row r="196" spans="6:8" x14ac:dyDescent="0.25">
      <c r="F196" s="2" t="s">
        <v>199</v>
      </c>
      <c r="G196" s="1" t="s">
        <v>201</v>
      </c>
      <c r="H196" s="1" t="s">
        <v>193</v>
      </c>
    </row>
    <row r="197" spans="6:8" x14ac:dyDescent="0.25">
      <c r="F197" s="2" t="s">
        <v>199</v>
      </c>
      <c r="G197" s="1" t="s">
        <v>201</v>
      </c>
      <c r="H197" s="1" t="s">
        <v>293</v>
      </c>
    </row>
    <row r="198" spans="6:8" x14ac:dyDescent="0.25">
      <c r="F198" s="2" t="s">
        <v>199</v>
      </c>
      <c r="G198" s="1" t="s">
        <v>30</v>
      </c>
      <c r="H198" s="1" t="s">
        <v>31</v>
      </c>
    </row>
    <row r="199" spans="6:8" x14ac:dyDescent="0.25">
      <c r="F199" s="2" t="s">
        <v>199</v>
      </c>
      <c r="G199" s="1" t="s">
        <v>30</v>
      </c>
      <c r="H199" s="1" t="s">
        <v>33</v>
      </c>
    </row>
    <row r="200" spans="6:8" x14ac:dyDescent="0.25">
      <c r="F200" s="2" t="s">
        <v>199</v>
      </c>
      <c r="G200" s="1" t="s">
        <v>30</v>
      </c>
      <c r="H200" s="1" t="s">
        <v>35</v>
      </c>
    </row>
    <row r="201" spans="6:8" x14ac:dyDescent="0.25">
      <c r="F201" s="2" t="s">
        <v>199</v>
      </c>
      <c r="G201" s="1" t="s">
        <v>30</v>
      </c>
      <c r="H201" s="1" t="s">
        <v>312</v>
      </c>
    </row>
    <row r="202" spans="6:8" x14ac:dyDescent="0.25">
      <c r="F202" s="2" t="s">
        <v>199</v>
      </c>
      <c r="G202" s="1" t="s">
        <v>70</v>
      </c>
      <c r="H202" s="1" t="s">
        <v>115</v>
      </c>
    </row>
    <row r="203" spans="6:8" x14ac:dyDescent="0.25">
      <c r="F203" s="2" t="s">
        <v>199</v>
      </c>
      <c r="G203" s="1" t="s">
        <v>70</v>
      </c>
      <c r="H203" s="1" t="s">
        <v>73</v>
      </c>
    </row>
    <row r="204" spans="6:8" x14ac:dyDescent="0.25">
      <c r="F204" s="2" t="s">
        <v>199</v>
      </c>
      <c r="G204" s="1" t="s">
        <v>42</v>
      </c>
      <c r="H204" s="1" t="s">
        <v>42</v>
      </c>
    </row>
    <row r="205" spans="6:8" x14ac:dyDescent="0.25">
      <c r="F205" s="2" t="s">
        <v>199</v>
      </c>
      <c r="G205" s="24" t="s">
        <v>57</v>
      </c>
      <c r="H205" s="24" t="s">
        <v>57</v>
      </c>
    </row>
    <row r="206" spans="6:8" x14ac:dyDescent="0.25">
      <c r="F206" s="3" t="s">
        <v>371</v>
      </c>
      <c r="G206" s="3" t="s">
        <v>121</v>
      </c>
      <c r="H206" s="3" t="s">
        <v>121</v>
      </c>
    </row>
    <row r="207" spans="6:8" x14ac:dyDescent="0.25">
      <c r="F207" s="1" t="s">
        <v>371</v>
      </c>
      <c r="G207" s="1" t="s">
        <v>201</v>
      </c>
      <c r="H207" s="1" t="s">
        <v>175</v>
      </c>
    </row>
    <row r="208" spans="6:8" x14ac:dyDescent="0.25">
      <c r="F208" s="1" t="s">
        <v>371</v>
      </c>
      <c r="G208" s="1" t="s">
        <v>201</v>
      </c>
      <c r="H208" s="1" t="s">
        <v>176</v>
      </c>
    </row>
    <row r="209" spans="6:8" x14ac:dyDescent="0.25">
      <c r="F209" s="1" t="s">
        <v>371</v>
      </c>
      <c r="G209" s="1" t="s">
        <v>201</v>
      </c>
      <c r="H209" s="1" t="s">
        <v>229</v>
      </c>
    </row>
    <row r="210" spans="6:8" x14ac:dyDescent="0.25">
      <c r="F210" s="1" t="s">
        <v>371</v>
      </c>
      <c r="G210" s="1" t="s">
        <v>201</v>
      </c>
      <c r="H210" s="1" t="s">
        <v>179</v>
      </c>
    </row>
    <row r="211" spans="6:8" x14ac:dyDescent="0.25">
      <c r="F211" s="1" t="s">
        <v>371</v>
      </c>
      <c r="G211" s="1" t="s">
        <v>201</v>
      </c>
      <c r="H211" s="1" t="s">
        <v>180</v>
      </c>
    </row>
    <row r="212" spans="6:8" x14ac:dyDescent="0.25">
      <c r="F212" s="1" t="s">
        <v>371</v>
      </c>
      <c r="G212" s="1" t="s">
        <v>201</v>
      </c>
      <c r="H212" s="1" t="s">
        <v>182</v>
      </c>
    </row>
    <row r="213" spans="6:8" x14ac:dyDescent="0.25">
      <c r="F213" s="1" t="s">
        <v>371</v>
      </c>
      <c r="G213" s="1" t="s">
        <v>201</v>
      </c>
      <c r="H213" s="1" t="s">
        <v>184</v>
      </c>
    </row>
    <row r="214" spans="6:8" x14ac:dyDescent="0.25">
      <c r="F214" s="1" t="s">
        <v>371</v>
      </c>
      <c r="G214" s="1" t="s">
        <v>201</v>
      </c>
      <c r="H214" s="1" t="s">
        <v>185</v>
      </c>
    </row>
    <row r="215" spans="6:8" x14ac:dyDescent="0.25">
      <c r="F215" s="1" t="s">
        <v>371</v>
      </c>
      <c r="G215" s="1" t="s">
        <v>201</v>
      </c>
      <c r="H215" s="1" t="s">
        <v>187</v>
      </c>
    </row>
    <row r="216" spans="6:8" x14ac:dyDescent="0.25">
      <c r="F216" s="1" t="s">
        <v>371</v>
      </c>
      <c r="G216" s="1" t="s">
        <v>201</v>
      </c>
      <c r="H216" s="1" t="s">
        <v>267</v>
      </c>
    </row>
    <row r="217" spans="6:8" x14ac:dyDescent="0.25">
      <c r="F217" s="1" t="s">
        <v>371</v>
      </c>
      <c r="G217" s="1" t="s">
        <v>201</v>
      </c>
      <c r="H217" s="1" t="s">
        <v>188</v>
      </c>
    </row>
    <row r="218" spans="6:8" x14ac:dyDescent="0.25">
      <c r="F218" s="1" t="s">
        <v>371</v>
      </c>
      <c r="G218" s="1" t="s">
        <v>201</v>
      </c>
      <c r="H218" s="1" t="s">
        <v>441</v>
      </c>
    </row>
    <row r="219" spans="6:8" x14ac:dyDescent="0.25">
      <c r="F219" s="1" t="s">
        <v>371</v>
      </c>
      <c r="G219" s="1" t="s">
        <v>201</v>
      </c>
      <c r="H219" s="1" t="s">
        <v>442</v>
      </c>
    </row>
    <row r="220" spans="6:8" x14ac:dyDescent="0.25">
      <c r="F220" s="1" t="s">
        <v>371</v>
      </c>
      <c r="G220" s="1" t="s">
        <v>201</v>
      </c>
      <c r="H220" s="1" t="s">
        <v>162</v>
      </c>
    </row>
    <row r="221" spans="6:8" x14ac:dyDescent="0.25">
      <c r="F221" s="1" t="s">
        <v>371</v>
      </c>
      <c r="G221" s="1" t="s">
        <v>201</v>
      </c>
      <c r="H221" s="1" t="s">
        <v>193</v>
      </c>
    </row>
    <row r="222" spans="6:8" x14ac:dyDescent="0.25">
      <c r="F222" s="1" t="s">
        <v>371</v>
      </c>
      <c r="G222" s="1" t="s">
        <v>201</v>
      </c>
      <c r="H222" s="1" t="s">
        <v>194</v>
      </c>
    </row>
    <row r="223" spans="6:8" x14ac:dyDescent="0.25">
      <c r="F223" s="1" t="s">
        <v>371</v>
      </c>
      <c r="G223" s="1" t="s">
        <v>126</v>
      </c>
      <c r="H223" s="1" t="s">
        <v>127</v>
      </c>
    </row>
    <row r="224" spans="6:8" x14ac:dyDescent="0.25">
      <c r="F224" s="40" t="s">
        <v>371</v>
      </c>
      <c r="G224" s="40" t="s">
        <v>124</v>
      </c>
      <c r="H224" s="40" t="s">
        <v>124</v>
      </c>
    </row>
    <row r="225" spans="6:8" x14ac:dyDescent="0.25">
      <c r="F225" s="1" t="s">
        <v>129</v>
      </c>
      <c r="G225" s="1" t="s">
        <v>201</v>
      </c>
      <c r="H225" s="1" t="s">
        <v>202</v>
      </c>
    </row>
    <row r="226" spans="6:8" x14ac:dyDescent="0.25">
      <c r="F226" s="1" t="s">
        <v>129</v>
      </c>
      <c r="G226" s="8" t="s">
        <v>201</v>
      </c>
      <c r="H226" s="8" t="s">
        <v>210</v>
      </c>
    </row>
    <row r="227" spans="6:8" x14ac:dyDescent="0.25">
      <c r="F227" s="1" t="s">
        <v>129</v>
      </c>
      <c r="G227" s="8" t="s">
        <v>201</v>
      </c>
      <c r="H227" s="8" t="s">
        <v>215</v>
      </c>
    </row>
    <row r="228" spans="6:8" x14ac:dyDescent="0.25">
      <c r="F228" s="1" t="s">
        <v>129</v>
      </c>
      <c r="G228" s="1" t="s">
        <v>201</v>
      </c>
      <c r="H228" s="1" t="s">
        <v>176</v>
      </c>
    </row>
    <row r="229" spans="6:8" x14ac:dyDescent="0.25">
      <c r="F229" s="1" t="s">
        <v>129</v>
      </c>
      <c r="G229" s="1" t="s">
        <v>201</v>
      </c>
      <c r="H229" s="1" t="s">
        <v>229</v>
      </c>
    </row>
    <row r="230" spans="6:8" x14ac:dyDescent="0.25">
      <c r="F230" s="1" t="s">
        <v>129</v>
      </c>
      <c r="G230" s="1" t="s">
        <v>201</v>
      </c>
      <c r="H230" s="1" t="s">
        <v>179</v>
      </c>
    </row>
    <row r="231" spans="6:8" x14ac:dyDescent="0.25">
      <c r="F231" s="1" t="s">
        <v>129</v>
      </c>
      <c r="G231" s="1" t="s">
        <v>201</v>
      </c>
      <c r="H231" s="1" t="s">
        <v>180</v>
      </c>
    </row>
    <row r="232" spans="6:8" x14ac:dyDescent="0.25">
      <c r="F232" s="1" t="s">
        <v>129</v>
      </c>
      <c r="G232" s="1" t="s">
        <v>201</v>
      </c>
      <c r="H232" s="1" t="s">
        <v>182</v>
      </c>
    </row>
    <row r="233" spans="6:8" x14ac:dyDescent="0.25">
      <c r="F233" s="1" t="s">
        <v>129</v>
      </c>
      <c r="G233" s="1" t="s">
        <v>201</v>
      </c>
      <c r="H233" s="1" t="s">
        <v>184</v>
      </c>
    </row>
    <row r="234" spans="6:8" x14ac:dyDescent="0.25">
      <c r="F234" s="1" t="s">
        <v>129</v>
      </c>
      <c r="G234" s="1" t="s">
        <v>201</v>
      </c>
      <c r="H234" s="1" t="s">
        <v>256</v>
      </c>
    </row>
    <row r="235" spans="6:8" x14ac:dyDescent="0.25">
      <c r="F235" s="1" t="s">
        <v>129</v>
      </c>
      <c r="G235" s="1" t="s">
        <v>201</v>
      </c>
      <c r="H235" s="1" t="s">
        <v>187</v>
      </c>
    </row>
    <row r="236" spans="6:8" x14ac:dyDescent="0.25">
      <c r="F236" s="1" t="s">
        <v>129</v>
      </c>
      <c r="G236" s="1" t="s">
        <v>201</v>
      </c>
      <c r="H236" s="1" t="s">
        <v>267</v>
      </c>
    </row>
    <row r="237" spans="6:8" x14ac:dyDescent="0.25">
      <c r="F237" s="1" t="s">
        <v>129</v>
      </c>
      <c r="G237" s="1" t="s">
        <v>201</v>
      </c>
      <c r="H237" s="1" t="s">
        <v>188</v>
      </c>
    </row>
    <row r="238" spans="6:8" x14ac:dyDescent="0.25">
      <c r="F238" s="1" t="s">
        <v>129</v>
      </c>
      <c r="G238" s="1" t="s">
        <v>201</v>
      </c>
      <c r="H238" s="1" t="s">
        <v>278</v>
      </c>
    </row>
    <row r="239" spans="6:8" x14ac:dyDescent="0.25">
      <c r="F239" s="1" t="s">
        <v>129</v>
      </c>
      <c r="G239" s="1" t="s">
        <v>201</v>
      </c>
      <c r="H239" s="1" t="s">
        <v>283</v>
      </c>
    </row>
    <row r="240" spans="6:8" x14ac:dyDescent="0.25">
      <c r="F240" s="1" t="s">
        <v>129</v>
      </c>
      <c r="G240" s="1" t="s">
        <v>201</v>
      </c>
      <c r="H240" s="1" t="s">
        <v>162</v>
      </c>
    </row>
    <row r="241" spans="6:8" x14ac:dyDescent="0.25">
      <c r="F241" s="1" t="s">
        <v>129</v>
      </c>
      <c r="G241" s="1" t="s">
        <v>201</v>
      </c>
      <c r="H241" s="1" t="s">
        <v>193</v>
      </c>
    </row>
    <row r="242" spans="6:8" x14ac:dyDescent="0.25">
      <c r="F242" s="1" t="s">
        <v>129</v>
      </c>
      <c r="G242" s="1" t="s">
        <v>201</v>
      </c>
      <c r="H242" s="1" t="s">
        <v>293</v>
      </c>
    </row>
    <row r="243" spans="6:8" x14ac:dyDescent="0.25">
      <c r="F243" s="1" t="s">
        <v>129</v>
      </c>
      <c r="G243" s="1" t="s">
        <v>39</v>
      </c>
      <c r="H243" s="1" t="s">
        <v>130</v>
      </c>
    </row>
    <row r="244" spans="6:8" x14ac:dyDescent="0.25">
      <c r="F244" s="1" t="s">
        <v>129</v>
      </c>
      <c r="G244" s="1" t="s">
        <v>132</v>
      </c>
      <c r="H244" s="1" t="s">
        <v>132</v>
      </c>
    </row>
    <row r="245" spans="6:8" x14ac:dyDescent="0.25">
      <c r="F245" s="1" t="s">
        <v>129</v>
      </c>
      <c r="G245" s="1" t="s">
        <v>134</v>
      </c>
      <c r="H245" s="1" t="s">
        <v>135</v>
      </c>
    </row>
    <row r="246" spans="6:8" x14ac:dyDescent="0.25">
      <c r="F246" s="1" t="s">
        <v>129</v>
      </c>
      <c r="G246" s="1" t="s">
        <v>134</v>
      </c>
      <c r="H246" s="1" t="s">
        <v>134</v>
      </c>
    </row>
    <row r="247" spans="6:8" x14ac:dyDescent="0.25">
      <c r="F247" s="1" t="s">
        <v>129</v>
      </c>
      <c r="G247" s="1" t="s">
        <v>134</v>
      </c>
      <c r="H247" s="1" t="s">
        <v>106</v>
      </c>
    </row>
    <row r="248" spans="6:8" x14ac:dyDescent="0.25">
      <c r="F248" s="1" t="s">
        <v>129</v>
      </c>
      <c r="G248" s="1" t="s">
        <v>134</v>
      </c>
      <c r="H248" s="1" t="s">
        <v>139</v>
      </c>
    </row>
    <row r="249" spans="6:8" x14ac:dyDescent="0.25">
      <c r="F249" s="1" t="s">
        <v>129</v>
      </c>
      <c r="G249" s="1" t="s">
        <v>141</v>
      </c>
      <c r="H249" s="1" t="s">
        <v>142</v>
      </c>
    </row>
    <row r="250" spans="6:8" x14ac:dyDescent="0.25">
      <c r="F250" s="1" t="s">
        <v>129</v>
      </c>
      <c r="G250" s="1" t="s">
        <v>141</v>
      </c>
      <c r="H250" s="1" t="s">
        <v>144</v>
      </c>
    </row>
    <row r="251" spans="6:8" x14ac:dyDescent="0.25">
      <c r="F251" s="1" t="s">
        <v>129</v>
      </c>
      <c r="G251" s="1" t="s">
        <v>141</v>
      </c>
      <c r="H251" s="1" t="s">
        <v>53</v>
      </c>
    </row>
    <row r="252" spans="6:8" x14ac:dyDescent="0.25">
      <c r="F252" s="1" t="s">
        <v>129</v>
      </c>
      <c r="G252" s="1" t="s">
        <v>141</v>
      </c>
      <c r="H252" s="1" t="s">
        <v>147</v>
      </c>
    </row>
    <row r="253" spans="6:8" x14ac:dyDescent="0.25">
      <c r="F253" s="1" t="s">
        <v>129</v>
      </c>
      <c r="G253" s="1" t="s">
        <v>141</v>
      </c>
      <c r="H253" s="1" t="s">
        <v>149</v>
      </c>
    </row>
    <row r="254" spans="6:8" x14ac:dyDescent="0.25">
      <c r="F254" s="1" t="s">
        <v>129</v>
      </c>
      <c r="G254" s="1" t="s">
        <v>151</v>
      </c>
      <c r="H254" s="1" t="s">
        <v>152</v>
      </c>
    </row>
    <row r="255" spans="6:8" x14ac:dyDescent="0.25">
      <c r="F255" s="1" t="s">
        <v>129</v>
      </c>
      <c r="G255" s="1" t="s">
        <v>151</v>
      </c>
      <c r="H255" s="1" t="s">
        <v>154</v>
      </c>
    </row>
    <row r="256" spans="6:8" x14ac:dyDescent="0.25">
      <c r="F256" s="1" t="s">
        <v>129</v>
      </c>
      <c r="G256" s="1" t="s">
        <v>151</v>
      </c>
      <c r="H256" s="1" t="s">
        <v>156</v>
      </c>
    </row>
    <row r="257" spans="6:8" x14ac:dyDescent="0.25">
      <c r="F257" s="1" t="s">
        <v>129</v>
      </c>
      <c r="G257" s="1" t="s">
        <v>151</v>
      </c>
      <c r="H257" s="1" t="s">
        <v>158</v>
      </c>
    </row>
    <row r="258" spans="6:8" x14ac:dyDescent="0.25">
      <c r="F258" s="1" t="s">
        <v>129</v>
      </c>
      <c r="G258" s="1" t="s">
        <v>151</v>
      </c>
      <c r="H258" s="1" t="s">
        <v>160</v>
      </c>
    </row>
    <row r="259" spans="6:8" x14ac:dyDescent="0.25">
      <c r="F259" s="1" t="s">
        <v>129</v>
      </c>
      <c r="G259" s="24" t="s">
        <v>57</v>
      </c>
      <c r="H259" s="24" t="s">
        <v>57</v>
      </c>
    </row>
    <row r="260" spans="6:8" x14ac:dyDescent="0.25">
      <c r="F260" s="1" t="s">
        <v>129</v>
      </c>
      <c r="G260" s="1" t="s">
        <v>162</v>
      </c>
      <c r="H260" s="1" t="s">
        <v>163</v>
      </c>
    </row>
    <row r="261" spans="6:8" x14ac:dyDescent="0.25">
      <c r="F261" s="1" t="s">
        <v>129</v>
      </c>
      <c r="G261" s="1" t="s">
        <v>162</v>
      </c>
      <c r="H261" s="1" t="s">
        <v>37</v>
      </c>
    </row>
    <row r="262" spans="6:8" x14ac:dyDescent="0.25">
      <c r="F262" s="8" t="s">
        <v>246</v>
      </c>
      <c r="G262" s="8" t="s">
        <v>166</v>
      </c>
      <c r="H262" s="8" t="s">
        <v>166</v>
      </c>
    </row>
    <row r="263" spans="6:8" x14ac:dyDescent="0.25">
      <c r="F263" s="24"/>
      <c r="G263" s="24"/>
      <c r="H263" s="24"/>
    </row>
    <row r="264" spans="6:8" x14ac:dyDescent="0.25">
      <c r="F264" s="24"/>
      <c r="G264" s="24"/>
      <c r="H264" s="24"/>
    </row>
    <row r="265" spans="6:8" x14ac:dyDescent="0.25">
      <c r="F265" s="24"/>
      <c r="G265" s="24"/>
      <c r="H265" s="24"/>
    </row>
    <row r="266" spans="6:8" x14ac:dyDescent="0.25">
      <c r="F266" s="24"/>
      <c r="G266" s="24"/>
      <c r="H266" s="24"/>
    </row>
    <row r="267" spans="6:8" x14ac:dyDescent="0.25">
      <c r="F267" s="24"/>
      <c r="G267" s="24"/>
      <c r="H267" s="24"/>
    </row>
    <row r="268" spans="6:8" x14ac:dyDescent="0.25">
      <c r="F268" s="24"/>
      <c r="G268" s="24"/>
      <c r="H268" s="24"/>
    </row>
    <row r="269" spans="6:8" x14ac:dyDescent="0.25">
      <c r="F269" s="24"/>
      <c r="G269" s="24"/>
      <c r="H269" s="24"/>
    </row>
    <row r="270" spans="6:8" x14ac:dyDescent="0.25">
      <c r="F270" s="24"/>
      <c r="G270" s="24"/>
      <c r="H270" s="24"/>
    </row>
    <row r="271" spans="6:8" x14ac:dyDescent="0.25">
      <c r="F271" s="24"/>
      <c r="G271" s="24"/>
      <c r="H271" s="24"/>
    </row>
    <row r="272" spans="6:8" x14ac:dyDescent="0.25">
      <c r="F272" s="24"/>
      <c r="G272" s="24"/>
      <c r="H272" s="24"/>
    </row>
    <row r="273" spans="6:8" x14ac:dyDescent="0.25">
      <c r="F273" s="24"/>
      <c r="G273" s="24"/>
      <c r="H273" s="24"/>
    </row>
    <row r="274" spans="6:8" x14ac:dyDescent="0.25">
      <c r="F274" s="24"/>
      <c r="G274" s="24"/>
      <c r="H274" s="24"/>
    </row>
    <row r="275" spans="6:8" x14ac:dyDescent="0.25">
      <c r="F275" s="24"/>
      <c r="G275" s="24"/>
      <c r="H275" s="24"/>
    </row>
    <row r="276" spans="6:8" x14ac:dyDescent="0.25">
      <c r="F276" s="24"/>
      <c r="G276" s="24"/>
      <c r="H276" s="24"/>
    </row>
  </sheetData>
  <sheetProtection algorithmName="SHA-512" hashValue="kn0KSd9gReMpmWqUYqSaNECFVBATg2fSjZo74fd4f4M6vyltHOsHxroof++5h133Q71n2wRegybwN+JDu6Nm0w==" saltValue="WsRgdi0T6CCAOlEg3l85Hg==" spinCount="100000" sheet="1" objects="1" scenarios="1"/>
  <autoFilter ref="O1:P22">
    <sortState ref="O2:P59">
      <sortCondition ref="O1:O31"/>
    </sortState>
  </autoFilter>
  <sortState ref="L4:M55">
    <sortCondition ref="L1"/>
  </sortState>
  <pageMargins left="0.7" right="0.7" top="0.75" bottom="0.75" header="0.3" footer="0.3"/>
  <pageSetup scale="8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4D5249CE6B3A546B97D579BE59BCED9" ma:contentTypeVersion="5" ma:contentTypeDescription="Create a new document." ma:contentTypeScope="" ma:versionID="e2b2dfafa01ab44cce750bf7ca1a4e88">
  <xsd:schema xmlns:xsd="http://www.w3.org/2001/XMLSchema" xmlns:xs="http://www.w3.org/2001/XMLSchema" xmlns:p="http://schemas.microsoft.com/office/2006/metadata/properties" xmlns:ns2="e2c3575a-183c-465c-8451-a8ae9edc6139" xmlns:ns3="6fb5c467-91b0-4808-80a7-3d1d945ece9a" targetNamespace="http://schemas.microsoft.com/office/2006/metadata/properties" ma:root="true" ma:fieldsID="b0329efad0960d0bbefd3d795b772a26" ns2:_="" ns3:_="">
    <xsd:import namespace="e2c3575a-183c-465c-8451-a8ae9edc6139"/>
    <xsd:import namespace="6fb5c467-91b0-4808-80a7-3d1d945ece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c3575a-183c-465c-8451-a8ae9edc6139"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fb5c467-91b0-4808-80a7-3d1d945ece9a"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957BB4-2B08-4D0E-AD14-E3C67E081F28}">
  <ds:schemaRefs>
    <ds:schemaRef ds:uri="http://schemas.microsoft.com/sharepoint/v3/contenttype/forms"/>
  </ds:schemaRefs>
</ds:datastoreItem>
</file>

<file path=customXml/itemProps2.xml><?xml version="1.0" encoding="utf-8"?>
<ds:datastoreItem xmlns:ds="http://schemas.openxmlformats.org/officeDocument/2006/customXml" ds:itemID="{48FBB59B-A81F-4C9E-B1B3-310CF9F121CB}">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3B3262-F9D0-41DE-A1D1-425E407703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c3575a-183c-465c-8451-a8ae9edc6139"/>
    <ds:schemaRef ds:uri="6fb5c467-91b0-4808-80a7-3d1d945ece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99</vt:i4>
      </vt:variant>
    </vt:vector>
  </HeadingPairs>
  <TitlesOfParts>
    <vt:vector size="103" baseType="lpstr">
      <vt:lpstr>Time Tracking</vt:lpstr>
      <vt:lpstr>Pivot Report</vt:lpstr>
      <vt:lpstr>Time Tracking Groups</vt:lpstr>
      <vt:lpstr>Lists</vt:lpstr>
      <vt:lpstr>_NotBillable</vt:lpstr>
      <vt:lpstr>_NotProjectSpecific</vt:lpstr>
      <vt:lpstr>AndreiCernauteanu</vt:lpstr>
      <vt:lpstr>BarnabasNagy</vt:lpstr>
      <vt:lpstr>BPG</vt:lpstr>
      <vt:lpstr>BPGPROGRAMSERVICE</vt:lpstr>
      <vt:lpstr>CSTCONTENTSUPPORTENGINEER</vt:lpstr>
      <vt:lpstr>CSTCONTENTSUPPORTENGINEERADMIN</vt:lpstr>
      <vt:lpstr>CSTCONTENTSUPPORTENGINEERCOMMUNICATIONANDREPORTING</vt:lpstr>
      <vt:lpstr>CSTCONTENTSUPPORTENGINEERENGINEERINGSUPPORT</vt:lpstr>
      <vt:lpstr>CSTCONTENTSUPPORTENGINEEROTHER</vt:lpstr>
      <vt:lpstr>CSTCONTENTSUPPORTENGINEERTIMETRACKING</vt:lpstr>
      <vt:lpstr>CSTKNOWLEDGELEADER</vt:lpstr>
      <vt:lpstr>CSTKNOWLEDGELEADERADMIN</vt:lpstr>
      <vt:lpstr>CSTKNOWLEDGELEADERCOMMUNICATIONANDREPORTING</vt:lpstr>
      <vt:lpstr>CSTKNOWLEDGELEADERENGINEERINGSUPPORT</vt:lpstr>
      <vt:lpstr>CSTKNOWLEDGELEADERFILEWORK</vt:lpstr>
      <vt:lpstr>CSTKNOWLEDGELEADEROTHER</vt:lpstr>
      <vt:lpstr>CSTKNOWLEDGELEADERTIMETRACKING</vt:lpstr>
      <vt:lpstr>CSTLIPE</vt:lpstr>
      <vt:lpstr>CSTLIPEADMIN</vt:lpstr>
      <vt:lpstr>CSTLIPEBUILDENABLEMENT</vt:lpstr>
      <vt:lpstr>CSTLIPECOMMUNICATIONANDREPORTING</vt:lpstr>
      <vt:lpstr>CSTLIPEENGINEERINGSUPPORT</vt:lpstr>
      <vt:lpstr>CSTLIPEFILEWORK</vt:lpstr>
      <vt:lpstr>CSTLIPEOTHER</vt:lpstr>
      <vt:lpstr>CSTLIPEPROJECTONBOARDING</vt:lpstr>
      <vt:lpstr>CSTLIPETIMETRACKING</vt:lpstr>
      <vt:lpstr>CSTLOCENGINEER</vt:lpstr>
      <vt:lpstr>CSTLOCENGINEERADMIN</vt:lpstr>
      <vt:lpstr>CSTLOCENGINEERBATCHPROCESSING</vt:lpstr>
      <vt:lpstr>CSTLOCENGINEERBUGMANAGEMENT</vt:lpstr>
      <vt:lpstr>CSTLOCENGINEERBULLETPROOFING</vt:lpstr>
      <vt:lpstr>CSTLOCENGINEERCOMMUNICATIONANDREPORTING</vt:lpstr>
      <vt:lpstr>CSTLOCENGINEERENGINEERINGSUPPORT</vt:lpstr>
      <vt:lpstr>CSTLOCENGINEERFABRICGENERAL</vt:lpstr>
      <vt:lpstr>CSTLOCENGINEERFEEDBACKMANAGEMENT</vt:lpstr>
      <vt:lpstr>CSTLOCENGINEERFILEWORK</vt:lpstr>
      <vt:lpstr>CSTLOCENGINEERHOHBWORK</vt:lpstr>
      <vt:lpstr>CSTLOCENGINEEROTHER</vt:lpstr>
      <vt:lpstr>CSTLOCENGINEERPROJECTONBOARDING</vt:lpstr>
      <vt:lpstr>CSTLOCENGINEERPUBLISHING</vt:lpstr>
      <vt:lpstr>CSTLOCENGINEERQUALITYMANAGEMENT</vt:lpstr>
      <vt:lpstr>CSTLOCENGINEERTERMINOLOGYMANAGEMENT</vt:lpstr>
      <vt:lpstr>CSTLOCENGINEERTIMETRACKING</vt:lpstr>
      <vt:lpstr>CSTLOCENGINEERVENDORMANAGEMENT</vt:lpstr>
      <vt:lpstr>CSTPIPE</vt:lpstr>
      <vt:lpstr>CSTPIPEADMIN</vt:lpstr>
      <vt:lpstr>CSTPIPEBATCHPROCESSING</vt:lpstr>
      <vt:lpstr>CSTPIPEBUGMANAGEMENT</vt:lpstr>
      <vt:lpstr>CSTPIPEBUILDENABLEMENT</vt:lpstr>
      <vt:lpstr>CSTPIPEBULLETPROOFING</vt:lpstr>
      <vt:lpstr>CSTPIPECOMMUNICATIONANDREPORTING</vt:lpstr>
      <vt:lpstr>CSTPIPEENGINEERINGSUPPORT</vt:lpstr>
      <vt:lpstr>CSTPIPEFABRICGENERAL</vt:lpstr>
      <vt:lpstr>CSTPIPEFILEWORK</vt:lpstr>
      <vt:lpstr>CSTPIPEOTHER</vt:lpstr>
      <vt:lpstr>CSTPIPETIMETRACKING</vt:lpstr>
      <vt:lpstr>CSTPM</vt:lpstr>
      <vt:lpstr>CSTPMADMIN</vt:lpstr>
      <vt:lpstr>CSTPMBUGMANAGEMENT</vt:lpstr>
      <vt:lpstr>CSTPMCOMMUNICATIONANDREPORTING</vt:lpstr>
      <vt:lpstr>CSTPMFEEDBACKMANAGEMENT</vt:lpstr>
      <vt:lpstr>CSTPMFINANCEMANAGEMENT</vt:lpstr>
      <vt:lpstr>CSTPMOTHER</vt:lpstr>
      <vt:lpstr>CSTPMPRODUCTIONMANAGEMENT</vt:lpstr>
      <vt:lpstr>CSTPMPROJECTONBOARDING</vt:lpstr>
      <vt:lpstr>CSTPMQUALITYMANAGEMENT</vt:lpstr>
      <vt:lpstr>CSTPMSCHEDULEMANAGEMENT</vt:lpstr>
      <vt:lpstr>CSTPMTIMETRACKING</vt:lpstr>
      <vt:lpstr>DTPANDMULTIMEDIA</vt:lpstr>
      <vt:lpstr>DTPANDMULTIMEDIAADMIN</vt:lpstr>
      <vt:lpstr>DTPANDMULTIMEDIADTP</vt:lpstr>
      <vt:lpstr>DTPANDMULTIMEDIAGRAPHICS</vt:lpstr>
      <vt:lpstr>DTPANDMULTIMEDIAMULTIMEDIA</vt:lpstr>
      <vt:lpstr>FedericoMacagno</vt:lpstr>
      <vt:lpstr>FernandoDiaz</vt:lpstr>
      <vt:lpstr>IOs</vt:lpstr>
      <vt:lpstr>JanBaltus</vt:lpstr>
      <vt:lpstr>JoseAznar</vt:lpstr>
      <vt:lpstr>LINGUISTICSERVICES</vt:lpstr>
      <vt:lpstr>LINGUISTICSERVICESADMIN</vt:lpstr>
      <vt:lpstr>LINGUISTICSERVICESFEEDBACKMANAGEMENT</vt:lpstr>
      <vt:lpstr>LINGUISTICSERVICESLINGUISTICBUGMANAGEMENT</vt:lpstr>
      <vt:lpstr>LINGUISTICSERVICESLINGUISTICRESOURCEMANAGEMENT</vt:lpstr>
      <vt:lpstr>LINGUISTICSERVICESQUALITY</vt:lpstr>
      <vt:lpstr>LINGUISTICSERVICESSTYLEGUIDE</vt:lpstr>
      <vt:lpstr>LINGUISTICSERVICESTERMINOLOGY</vt:lpstr>
      <vt:lpstr>LINGUISTICSERVICESTIMETRACKING</vt:lpstr>
      <vt:lpstr>LINGUISTICSERVICESTRAINING</vt:lpstr>
      <vt:lpstr>MonserratCalzada</vt:lpstr>
      <vt:lpstr>Navision_Projects</vt:lpstr>
      <vt:lpstr>Project_Owners</vt:lpstr>
      <vt:lpstr>RaimundoSabao</vt:lpstr>
      <vt:lpstr>Role</vt:lpstr>
      <vt:lpstr>SabrinaLang</vt:lpstr>
      <vt:lpstr>TiborSipos</vt:lpstr>
      <vt:lpstr>TimothyHartling</vt:lpstr>
      <vt:lpstr>VeronikaVasikova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Macduff</dc:creator>
  <cp:keywords/>
  <dc:description/>
  <cp:lastModifiedBy>Lucas Fernandez</cp:lastModifiedBy>
  <cp:revision/>
  <dcterms:created xsi:type="dcterms:W3CDTF">2017-02-07T20:56:34Z</dcterms:created>
  <dcterms:modified xsi:type="dcterms:W3CDTF">2017-07-27T20:23:10Z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0x01010014D5249CE6B3A546B97D579BE59BCED9</vt:lpwstr>
  </property>
</Properties>
</file>